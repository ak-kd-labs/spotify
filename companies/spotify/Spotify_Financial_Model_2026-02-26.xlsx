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enue Model" sheetId="1" state="visible" r:id="rId1"/>
    <sheet xmlns:r="http://schemas.openxmlformats.org/officeDocument/2006/relationships" name="Income Statement" sheetId="2" state="visible" r:id="rId2"/>
    <sheet xmlns:r="http://schemas.openxmlformats.org/officeDocument/2006/relationships" name="Cash Flow" sheetId="3" state="visible" r:id="rId3"/>
    <sheet xmlns:r="http://schemas.openxmlformats.org/officeDocument/2006/relationships" name="Balance Sheet" sheetId="4" state="visible" r:id="rId4"/>
    <sheet xmlns:r="http://schemas.openxmlformats.org/officeDocument/2006/relationships" name="Scenarios" sheetId="5" state="visible" r:id="rId5"/>
    <sheet xmlns:r="http://schemas.openxmlformats.org/officeDocument/2006/relationships" name="DCF Inputs" sheetId="6" state="visible" r:id="rId6"/>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7">
    <font>
      <name val="Calibri"/>
      <family val="2"/>
      <color theme="1"/>
      <sz val="11"/>
      <scheme val="minor"/>
    </font>
    <font>
      <b val="1"/>
      <color rgb="00000000"/>
    </font>
    <font>
      <i val="1"/>
      <color rgb="00666666"/>
    </font>
    <font>
      <color rgb="00000000"/>
    </font>
    <font>
      <color rgb="000000CC"/>
    </font>
    <font>
      <b val="1"/>
      <color rgb="00006600"/>
    </font>
    <font>
      <color rgb="00006600"/>
    </font>
  </fonts>
  <fills count="5">
    <fill>
      <patternFill/>
    </fill>
    <fill>
      <patternFill patternType="gray125"/>
    </fill>
    <fill>
      <patternFill patternType="solid">
        <fgColor rgb="00D9E1F2"/>
        <bgColor rgb="00D9E1F2"/>
      </patternFill>
    </fill>
    <fill>
      <patternFill patternType="solid">
        <fgColor rgb="00C6EFCE"/>
        <bgColor rgb="00C6EFCE"/>
      </patternFill>
    </fill>
    <fill>
      <patternFill patternType="solid">
        <fgColor rgb="00FFC7CE"/>
        <bgColor rgb="00FFC7CE"/>
      </patternFill>
    </fill>
  </fills>
  <borders count="3">
    <border>
      <left/>
      <right/>
      <top/>
      <bottom/>
      <diagonal/>
    </border>
    <border>
      <bottom style="double"/>
    </border>
    <border>
      <bottom style="thin"/>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1" fillId="2" borderId="0" applyAlignment="1" pivotButton="0" quotePrefix="0" xfId="0">
      <alignment horizontal="center"/>
    </xf>
    <xf numFmtId="0" fontId="3" fillId="0" borderId="0" pivotButton="0" quotePrefix="0" xfId="0"/>
    <xf numFmtId="3" fontId="4" fillId="0" borderId="0" pivotButton="0" quotePrefix="0" xfId="0"/>
    <xf numFmtId="164" fontId="3" fillId="0" borderId="0" pivotButton="0" quotePrefix="0" xfId="0"/>
    <xf numFmtId="165" fontId="4" fillId="0" borderId="0" pivotButton="0" quotePrefix="0" xfId="0"/>
    <xf numFmtId="165" fontId="3" fillId="0" borderId="0" pivotButton="0" quotePrefix="0" xfId="0"/>
    <xf numFmtId="4" fontId="3" fillId="0" borderId="0" pivotButton="0" quotePrefix="0" xfId="0"/>
    <xf numFmtId="4" fontId="4" fillId="0" borderId="0" pivotButton="0" quotePrefix="0" xfId="0"/>
    <xf numFmtId="3" fontId="3" fillId="0" borderId="0" pivotButton="0" quotePrefix="0" xfId="0"/>
    <xf numFmtId="3" fontId="4" fillId="0" borderId="1" pivotButton="0" quotePrefix="0" xfId="0"/>
    <xf numFmtId="3" fontId="3" fillId="0" borderId="1" pivotButton="0" quotePrefix="0" xfId="0"/>
    <xf numFmtId="164" fontId="4" fillId="0" borderId="0" pivotButton="0" quotePrefix="0" xfId="0"/>
    <xf numFmtId="0" fontId="5" fillId="0" borderId="0" applyAlignment="1" pivotButton="0" quotePrefix="0" xfId="0">
      <alignment horizontal="center"/>
    </xf>
    <xf numFmtId="3" fontId="6" fillId="0" borderId="0" pivotButton="0" quotePrefix="0" xfId="0"/>
    <xf numFmtId="3" fontId="1" fillId="0" borderId="2" pivotButton="0" quotePrefix="0" xfId="0"/>
    <xf numFmtId="3" fontId="1" fillId="0" borderId="0" pivotButton="0" quotePrefix="0" xfId="0"/>
    <xf numFmtId="3" fontId="1" fillId="0" borderId="1" pivotButton="0" quotePrefix="0" xfId="0"/>
    <xf numFmtId="164" fontId="4" fillId="3" borderId="0" pivotButton="0" quotePrefix="0" xfId="0"/>
    <xf numFmtId="164" fontId="4" fillId="2" borderId="0" pivotButton="0" quotePrefix="0" xfId="0"/>
    <xf numFmtId="164" fontId="4" fillId="4" borderId="0" pivotButton="0" quotePrefix="0" xfId="0"/>
    <xf numFmtId="3" fontId="3" fillId="3" borderId="0" pivotButton="0" quotePrefix="0" xfId="0"/>
    <xf numFmtId="3" fontId="3" fillId="2" borderId="0" pivotButton="0" quotePrefix="0" xfId="0"/>
    <xf numFmtId="3" fontId="3" fillId="4" borderId="0" pivotButton="0" quotePrefix="0" xfId="0"/>
    <xf numFmtId="4" fontId="3" fillId="3" borderId="0" pivotButton="0" quotePrefix="0" xfId="0"/>
    <xf numFmtId="4" fontId="3" fillId="2" borderId="0" pivotButton="0" quotePrefix="0" xfId="0"/>
    <xf numFmtId="4" fontId="3" fillId="4" borderId="0" pivotButton="0" quotePrefix="0" xfId="0"/>
    <xf numFmtId="164"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SPOTIFY TECHNOLOGY S.A. — REVENUE MODEL</t>
        </is>
      </c>
    </row>
    <row r="2">
      <c r="A2" s="2" t="inlineStr">
        <is>
          <t>(EUR millions unless noted)</t>
        </is>
      </c>
    </row>
    <row r="4">
      <c r="A4" s="3" t="inlineStr"/>
      <c r="B4" s="3" t="inlineStr">
        <is>
          <t>2021A</t>
        </is>
      </c>
      <c r="C4" s="3" t="inlineStr">
        <is>
          <t>2022A</t>
        </is>
      </c>
      <c r="D4" s="3" t="inlineStr">
        <is>
          <t>2023A</t>
        </is>
      </c>
      <c r="E4" s="3" t="inlineStr">
        <is>
          <t>2024A</t>
        </is>
      </c>
      <c r="F4" s="3" t="inlineStr">
        <is>
          <t>2025A</t>
        </is>
      </c>
      <c r="G4" s="3" t="inlineStr">
        <is>
          <t>2026E</t>
        </is>
      </c>
      <c r="H4" s="3" t="inlineStr">
        <is>
          <t>2027E</t>
        </is>
      </c>
      <c r="I4" s="3" t="inlineStr">
        <is>
          <t>2028E</t>
        </is>
      </c>
      <c r="J4" s="3" t="inlineStr">
        <is>
          <t>2029E</t>
        </is>
      </c>
      <c r="K4" s="3" t="inlineStr">
        <is>
          <t>2030E</t>
        </is>
      </c>
    </row>
    <row r="6">
      <c r="A6" s="1" t="inlineStr">
        <is>
          <t>REVENUE BY PRODUCT / SEGMENT</t>
        </is>
      </c>
    </row>
    <row r="7">
      <c r="A7" s="4" t="inlineStr">
        <is>
          <t>Premium Subscribers (M, year-end)</t>
        </is>
      </c>
      <c r="B7" s="5" t="n">
        <v>180</v>
      </c>
      <c r="C7" s="5" t="n">
        <v>205</v>
      </c>
      <c r="D7" s="5" t="n">
        <v>236</v>
      </c>
      <c r="E7" s="5" t="n">
        <v>263</v>
      </c>
      <c r="F7" s="5" t="n">
        <v>290</v>
      </c>
      <c r="G7" s="5" t="n">
        <v>318</v>
      </c>
      <c r="H7" s="5" t="n">
        <v>349</v>
      </c>
      <c r="I7" s="5" t="n">
        <v>381</v>
      </c>
      <c r="J7" s="5" t="n">
        <v>413</v>
      </c>
      <c r="K7" s="5" t="n">
        <v>445</v>
      </c>
    </row>
    <row r="8">
      <c r="A8" s="4" t="inlineStr">
        <is>
          <t xml:space="preserve">  Premium Sub YoY Growth</t>
        </is>
      </c>
      <c r="B8" s="6" t="n"/>
      <c r="C8" s="6">
        <f>IF(B7=0,0,(C7-B7)/B7)</f>
        <v/>
      </c>
      <c r="D8" s="6">
        <f>IF(C7=0,0,(D7-C7)/C7)</f>
        <v/>
      </c>
      <c r="E8" s="6">
        <f>IF(D7=0,0,(E7-D7)/D7)</f>
        <v/>
      </c>
      <c r="F8" s="6">
        <f>IF(E7=0,0,(F7-E7)/E7)</f>
        <v/>
      </c>
      <c r="G8" s="6">
        <f>IF(F7=0,0,(G7-F7)/F7)</f>
        <v/>
      </c>
      <c r="H8" s="6">
        <f>IF(G7=0,0,(H7-G7)/G7)</f>
        <v/>
      </c>
      <c r="I8" s="6">
        <f>IF(H7=0,0,(I7-H7)/H7)</f>
        <v/>
      </c>
      <c r="J8" s="6">
        <f>IF(I7=0,0,(J7-I7)/I7)</f>
        <v/>
      </c>
      <c r="K8" s="6">
        <f>IF(J7=0,0,(K7-J7)/J7)</f>
        <v/>
      </c>
    </row>
    <row r="9">
      <c r="A9" s="4" t="inlineStr">
        <is>
          <t>Avg Premium Subscribers (M)</t>
        </is>
      </c>
      <c r="B9" s="7" t="n">
        <v>168</v>
      </c>
      <c r="C9" s="8">
        <f>(B7+C7)/2</f>
        <v/>
      </c>
      <c r="D9" s="8">
        <f>(C7+D7)/2</f>
        <v/>
      </c>
      <c r="E9" s="8">
        <f>(D7+E7)/2</f>
        <v/>
      </c>
      <c r="F9" s="8">
        <f>(E7+F7)/2</f>
        <v/>
      </c>
      <c r="G9" s="8">
        <f>(F7+G7)/2</f>
        <v/>
      </c>
      <c r="H9" s="8">
        <f>(G7+H7)/2</f>
        <v/>
      </c>
      <c r="I9" s="8">
        <f>(H7+I7)/2</f>
        <v/>
      </c>
      <c r="J9" s="8">
        <f>(I7+J7)/2</f>
        <v/>
      </c>
      <c r="K9" s="8">
        <f>(J7+K7)/2</f>
        <v/>
      </c>
    </row>
    <row r="10">
      <c r="A10" s="4" t="inlineStr">
        <is>
          <t>Annual ARPU (EUR/sub)</t>
        </is>
      </c>
      <c r="B10" s="9">
        <f>B12/B9</f>
        <v/>
      </c>
      <c r="C10" s="9">
        <f>C12/C9</f>
        <v/>
      </c>
      <c r="D10" s="9">
        <f>D12/D9</f>
        <v/>
      </c>
      <c r="E10" s="9">
        <f>E12/E9</f>
        <v/>
      </c>
      <c r="F10" s="9">
        <f>F12/F9</f>
        <v/>
      </c>
      <c r="G10" s="10" t="n">
        <v>55.5</v>
      </c>
      <c r="H10" s="10" t="n">
        <v>57</v>
      </c>
      <c r="I10" s="10" t="n">
        <v>58.5</v>
      </c>
      <c r="J10" s="10" t="n">
        <v>60</v>
      </c>
      <c r="K10" s="10" t="n">
        <v>61.5</v>
      </c>
    </row>
    <row r="11">
      <c r="A11" s="4" t="inlineStr">
        <is>
          <t xml:space="preserve">  ARPU YoY Growth</t>
        </is>
      </c>
      <c r="B11" s="6" t="n"/>
      <c r="C11" s="6">
        <f>IF(B10=0,0,(C10-B10)/B10)</f>
        <v/>
      </c>
      <c r="D11" s="6">
        <f>IF(C10=0,0,(D10-C10)/C10)</f>
        <v/>
      </c>
      <c r="E11" s="6">
        <f>IF(D10=0,0,(E10-D10)/D10)</f>
        <v/>
      </c>
      <c r="F11" s="6">
        <f>IF(E10=0,0,(F10-E10)/E10)</f>
        <v/>
      </c>
      <c r="G11" s="6">
        <f>IF(F10=0,0,(G10-F10)/F10)</f>
        <v/>
      </c>
      <c r="H11" s="6">
        <f>IF(G10=0,0,(H10-G10)/G10)</f>
        <v/>
      </c>
      <c r="I11" s="6">
        <f>IF(H10=0,0,(I10-H10)/H10)</f>
        <v/>
      </c>
      <c r="J11" s="6">
        <f>IF(I10=0,0,(J10-I10)/I10)</f>
        <v/>
      </c>
      <c r="K11" s="6">
        <f>IF(J10=0,0,(K10-J10)/J10)</f>
        <v/>
      </c>
    </row>
    <row r="12">
      <c r="A12" s="1" t="inlineStr">
        <is>
          <t>Premium Revenue</t>
        </is>
      </c>
      <c r="B12" s="5" t="n">
        <v>8460</v>
      </c>
      <c r="C12" s="5" t="n">
        <v>10251</v>
      </c>
      <c r="D12" s="5" t="n">
        <v>11566</v>
      </c>
      <c r="E12" s="5" t="n">
        <v>13820</v>
      </c>
      <c r="F12" s="5" t="n">
        <v>15100</v>
      </c>
      <c r="G12" s="11">
        <f>G9*G10</f>
        <v/>
      </c>
      <c r="H12" s="11">
        <f>H9*H10</f>
        <v/>
      </c>
      <c r="I12" s="11">
        <f>I9*I10</f>
        <v/>
      </c>
      <c r="J12" s="11">
        <f>J9*J10</f>
        <v/>
      </c>
      <c r="K12" s="11">
        <f>K9*K10</f>
        <v/>
      </c>
    </row>
    <row r="13">
      <c r="A13" s="4" t="inlineStr">
        <is>
          <t xml:space="preserve">  Premium Revenue YoY Growth</t>
        </is>
      </c>
      <c r="B13" s="6" t="n"/>
      <c r="C13" s="6">
        <f>IF(B12=0,0,(C12-B12)/B12)</f>
        <v/>
      </c>
      <c r="D13" s="6">
        <f>IF(C12=0,0,(D12-C12)/C12)</f>
        <v/>
      </c>
      <c r="E13" s="6">
        <f>IF(D12=0,0,(E12-D12)/D12)</f>
        <v/>
      </c>
      <c r="F13" s="6">
        <f>IF(E12=0,0,(F12-E12)/E12)</f>
        <v/>
      </c>
      <c r="G13" s="6">
        <f>IF(F12=0,0,(G12-F12)/F12)</f>
        <v/>
      </c>
      <c r="H13" s="6">
        <f>IF(G12=0,0,(H12-G12)/G12)</f>
        <v/>
      </c>
      <c r="I13" s="6">
        <f>IF(H12=0,0,(I12-H12)/H12)</f>
        <v/>
      </c>
      <c r="J13" s="6">
        <f>IF(I12=0,0,(J12-I12)/I12)</f>
        <v/>
      </c>
      <c r="K13" s="6">
        <f>IF(J12=0,0,(K12-J12)/J12)</f>
        <v/>
      </c>
    </row>
    <row r="15">
      <c r="A15" s="4" t="inlineStr">
        <is>
          <t>Ad-Supported MAUs (M, year-end)</t>
        </is>
      </c>
      <c r="B15" s="5" t="n">
        <v>236</v>
      </c>
      <c r="C15" s="5" t="n">
        <v>295</v>
      </c>
      <c r="D15" s="5" t="n">
        <v>364</v>
      </c>
      <c r="E15" s="5" t="n">
        <v>412</v>
      </c>
      <c r="F15" s="5" t="n">
        <v>461</v>
      </c>
      <c r="G15" s="5" t="n">
        <v>510</v>
      </c>
      <c r="H15" s="5" t="n">
        <v>560</v>
      </c>
      <c r="I15" s="5" t="n">
        <v>610</v>
      </c>
      <c r="J15" s="5" t="n">
        <v>660</v>
      </c>
      <c r="K15" s="5" t="n">
        <v>710</v>
      </c>
    </row>
    <row r="16">
      <c r="A16" s="4" t="inlineStr">
        <is>
          <t xml:space="preserve">  Ad MAU YoY Growth</t>
        </is>
      </c>
      <c r="B16" s="6" t="n"/>
      <c r="C16" s="6">
        <f>IF(B15=0,0,(C15-B15)/B15)</f>
        <v/>
      </c>
      <c r="D16" s="6">
        <f>IF(C15=0,0,(D15-C15)/C15)</f>
        <v/>
      </c>
      <c r="E16" s="6">
        <f>IF(D15=0,0,(E15-D15)/D15)</f>
        <v/>
      </c>
      <c r="F16" s="6">
        <f>IF(E15=0,0,(F15-E15)/E15)</f>
        <v/>
      </c>
      <c r="G16" s="6">
        <f>IF(F15=0,0,(G15-F15)/F15)</f>
        <v/>
      </c>
      <c r="H16" s="6">
        <f>IF(G15=0,0,(H15-G15)/G15)</f>
        <v/>
      </c>
      <c r="I16" s="6">
        <f>IF(H15=0,0,(I15-H15)/H15)</f>
        <v/>
      </c>
      <c r="J16" s="6">
        <f>IF(I15=0,0,(J15-I15)/I15)</f>
        <v/>
      </c>
      <c r="K16" s="6">
        <f>IF(J15=0,0,(K15-J15)/J15)</f>
        <v/>
      </c>
    </row>
    <row r="17">
      <c r="A17" s="4" t="inlineStr">
        <is>
          <t>Avg Ad-Supported MAUs (M)</t>
        </is>
      </c>
      <c r="B17" s="7" t="n">
        <v>210</v>
      </c>
      <c r="C17" s="8">
        <f>(B15+C15)/2</f>
        <v/>
      </c>
      <c r="D17" s="8">
        <f>(C15+D15)/2</f>
        <v/>
      </c>
      <c r="E17" s="8">
        <f>(D15+E15)/2</f>
        <v/>
      </c>
      <c r="F17" s="8">
        <f>(E15+F15)/2</f>
        <v/>
      </c>
      <c r="G17" s="8">
        <f>(F15+G15)/2</f>
        <v/>
      </c>
      <c r="H17" s="8">
        <f>(G15+H15)/2</f>
        <v/>
      </c>
      <c r="I17" s="8">
        <f>(H15+I15)/2</f>
        <v/>
      </c>
      <c r="J17" s="8">
        <f>(I15+J15)/2</f>
        <v/>
      </c>
      <c r="K17" s="8">
        <f>(J15+K15)/2</f>
        <v/>
      </c>
    </row>
    <row r="18">
      <c r="A18" s="4" t="inlineStr">
        <is>
          <t>Ad Revenue per MAU (EUR/year)</t>
        </is>
      </c>
      <c r="B18" s="9">
        <f>B20/B17</f>
        <v/>
      </c>
      <c r="C18" s="9">
        <f>C20/C17</f>
        <v/>
      </c>
      <c r="D18" s="9">
        <f>D20/D17</f>
        <v/>
      </c>
      <c r="E18" s="9">
        <f>E20/E17</f>
        <v/>
      </c>
      <c r="F18" s="9">
        <f>F20/F17</f>
        <v/>
      </c>
      <c r="G18" s="10" t="n">
        <v>4.4</v>
      </c>
      <c r="H18" s="10" t="n">
        <v>4.6</v>
      </c>
      <c r="I18" s="10" t="n">
        <v>4.8</v>
      </c>
      <c r="J18" s="10" t="n">
        <v>5</v>
      </c>
      <c r="K18" s="10" t="n">
        <v>5.2</v>
      </c>
    </row>
    <row r="19">
      <c r="A19" s="4" t="inlineStr">
        <is>
          <t xml:space="preserve">  Ad RPM YoY Growth</t>
        </is>
      </c>
      <c r="B19" s="6" t="n"/>
      <c r="C19" s="6">
        <f>IF(B18=0,0,(C18-B18)/B18)</f>
        <v/>
      </c>
      <c r="D19" s="6">
        <f>IF(C18=0,0,(D18-C18)/C18)</f>
        <v/>
      </c>
      <c r="E19" s="6">
        <f>IF(D18=0,0,(E18-D18)/D18)</f>
        <v/>
      </c>
      <c r="F19" s="6">
        <f>IF(E18=0,0,(F18-E18)/E18)</f>
        <v/>
      </c>
      <c r="G19" s="6">
        <f>IF(F18=0,0,(G18-F18)/F18)</f>
        <v/>
      </c>
      <c r="H19" s="6">
        <f>IF(G18=0,0,(H18-G18)/G18)</f>
        <v/>
      </c>
      <c r="I19" s="6">
        <f>IF(H18=0,0,(I18-H18)/H18)</f>
        <v/>
      </c>
      <c r="J19" s="6">
        <f>IF(I18=0,0,(J18-I18)/I18)</f>
        <v/>
      </c>
      <c r="K19" s="6">
        <f>IF(J18=0,0,(K18-J18)/J18)</f>
        <v/>
      </c>
    </row>
    <row r="20">
      <c r="A20" s="1" t="inlineStr">
        <is>
          <t>Ad-Supported Revenue</t>
        </is>
      </c>
      <c r="B20" s="5" t="n">
        <v>1208</v>
      </c>
      <c r="C20" s="5" t="n">
        <v>1476</v>
      </c>
      <c r="D20" s="5" t="n">
        <v>1681</v>
      </c>
      <c r="E20" s="5" t="n">
        <v>1853</v>
      </c>
      <c r="F20" s="5" t="n">
        <v>2086</v>
      </c>
      <c r="G20" s="11">
        <f>G17*G18</f>
        <v/>
      </c>
      <c r="H20" s="11">
        <f>H17*H18</f>
        <v/>
      </c>
      <c r="I20" s="11">
        <f>I17*I18</f>
        <v/>
      </c>
      <c r="J20" s="11">
        <f>J17*J18</f>
        <v/>
      </c>
      <c r="K20" s="11">
        <f>K17*K18</f>
        <v/>
      </c>
    </row>
    <row r="21">
      <c r="A21" s="4" t="inlineStr">
        <is>
          <t xml:space="preserve">  Ad Revenue YoY Growth</t>
        </is>
      </c>
      <c r="B21" s="6" t="n"/>
      <c r="C21" s="6">
        <f>IF(B20=0,0,(C20-B20)/B20)</f>
        <v/>
      </c>
      <c r="D21" s="6">
        <f>IF(C20=0,0,(D20-C20)/C20)</f>
        <v/>
      </c>
      <c r="E21" s="6">
        <f>IF(D20=0,0,(E20-D20)/D20)</f>
        <v/>
      </c>
      <c r="F21" s="6">
        <f>IF(E20=0,0,(F20-E20)/E20)</f>
        <v/>
      </c>
      <c r="G21" s="6">
        <f>IF(F20=0,0,(G20-F20)/F20)</f>
        <v/>
      </c>
      <c r="H21" s="6">
        <f>IF(G20=0,0,(H20-G20)/G20)</f>
        <v/>
      </c>
      <c r="I21" s="6">
        <f>IF(H20=0,0,(I20-H20)/H20)</f>
        <v/>
      </c>
      <c r="J21" s="6">
        <f>IF(I20=0,0,(J20-I20)/I20)</f>
        <v/>
      </c>
      <c r="K21" s="6">
        <f>IF(J20=0,0,(K20-J20)/J20)</f>
        <v/>
      </c>
    </row>
    <row r="23">
      <c r="A23" s="1" t="inlineStr">
        <is>
          <t>TOTAL REVENUE</t>
        </is>
      </c>
      <c r="B23" s="12" t="n">
        <v>9668</v>
      </c>
      <c r="C23" s="12" t="n">
        <v>11727</v>
      </c>
      <c r="D23" s="12" t="n">
        <v>13247</v>
      </c>
      <c r="E23" s="12" t="n">
        <v>15673</v>
      </c>
      <c r="F23" s="12" t="n">
        <v>17186</v>
      </c>
      <c r="G23" s="13">
        <f>G12+G20</f>
        <v/>
      </c>
      <c r="H23" s="13">
        <f>H12+H20</f>
        <v/>
      </c>
      <c r="I23" s="13">
        <f>I12+I20</f>
        <v/>
      </c>
      <c r="J23" s="13">
        <f>J12+J20</f>
        <v/>
      </c>
      <c r="K23" s="13">
        <f>K12+K20</f>
        <v/>
      </c>
    </row>
    <row r="24">
      <c r="A24" s="4" t="inlineStr">
        <is>
          <t xml:space="preserve">  Total Revenue YoY Growth</t>
        </is>
      </c>
      <c r="B24" s="6" t="n"/>
      <c r="C24" s="6">
        <f>IF(B23=0,0,(C23-B23)/B23)</f>
        <v/>
      </c>
      <c r="D24" s="6">
        <f>IF(C23=0,0,(D23-C23)/C23)</f>
        <v/>
      </c>
      <c r="E24" s="6">
        <f>IF(D23=0,0,(E23-D23)/D23)</f>
        <v/>
      </c>
      <c r="F24" s="6">
        <f>IF(E23=0,0,(F23-E23)/E23)</f>
        <v/>
      </c>
      <c r="G24" s="6">
        <f>IF(F23=0,0,(G23-F23)/F23)</f>
        <v/>
      </c>
      <c r="H24" s="6">
        <f>IF(G23=0,0,(H23-G23)/G23)</f>
        <v/>
      </c>
      <c r="I24" s="6">
        <f>IF(H23=0,0,(I23-H23)/H23)</f>
        <v/>
      </c>
      <c r="J24" s="6">
        <f>IF(I23=0,0,(J23-I23)/I23)</f>
        <v/>
      </c>
      <c r="K24" s="6">
        <f>IF(J23=0,0,(K23-J23)/J23)</f>
        <v/>
      </c>
    </row>
    <row r="25">
      <c r="A25" s="4" t="inlineStr">
        <is>
          <t xml:space="preserve">  Premium % of Total</t>
        </is>
      </c>
      <c r="B25" s="6">
        <f>B12/B23</f>
        <v/>
      </c>
      <c r="C25" s="6">
        <f>C12/C23</f>
        <v/>
      </c>
      <c r="D25" s="6">
        <f>D12/D23</f>
        <v/>
      </c>
      <c r="E25" s="6">
        <f>E12/E23</f>
        <v/>
      </c>
      <c r="F25" s="6">
        <f>F12/F23</f>
        <v/>
      </c>
      <c r="G25" s="6">
        <f>G12/G23</f>
        <v/>
      </c>
      <c r="H25" s="6">
        <f>H12/H23</f>
        <v/>
      </c>
      <c r="I25" s="6">
        <f>I12/I23</f>
        <v/>
      </c>
      <c r="J25" s="6">
        <f>J12/J23</f>
        <v/>
      </c>
      <c r="K25" s="6">
        <f>K12/K23</f>
        <v/>
      </c>
    </row>
    <row r="26">
      <c r="A26" s="4" t="inlineStr">
        <is>
          <t xml:space="preserve">  Ad-Supported % of Total</t>
        </is>
      </c>
      <c r="B26" s="6">
        <f>B20/B23</f>
        <v/>
      </c>
      <c r="C26" s="6">
        <f>C20/C23</f>
        <v/>
      </c>
      <c r="D26" s="6">
        <f>D20/D23</f>
        <v/>
      </c>
      <c r="E26" s="6">
        <f>E20/E23</f>
        <v/>
      </c>
      <c r="F26" s="6">
        <f>F20/F23</f>
        <v/>
      </c>
      <c r="G26" s="6">
        <f>G20/G23</f>
        <v/>
      </c>
      <c r="H26" s="6">
        <f>H20/H23</f>
        <v/>
      </c>
      <c r="I26" s="6">
        <f>I20/I23</f>
        <v/>
      </c>
      <c r="J26" s="6">
        <f>J20/J23</f>
        <v/>
      </c>
      <c r="K26" s="6">
        <f>K20/K23</f>
        <v/>
      </c>
    </row>
    <row r="28">
      <c r="A28" s="4" t="inlineStr">
        <is>
          <t>Total MAUs (M, year-end)</t>
        </is>
      </c>
      <c r="B28" s="5" t="n">
        <v>406</v>
      </c>
      <c r="C28" s="5" t="n">
        <v>489</v>
      </c>
      <c r="D28" s="5" t="n">
        <v>602</v>
      </c>
      <c r="E28" s="5" t="n">
        <v>675</v>
      </c>
      <c r="F28" s="5" t="n">
        <v>751</v>
      </c>
      <c r="G28" s="5" t="n">
        <v>828</v>
      </c>
      <c r="H28" s="5" t="n">
        <v>909</v>
      </c>
      <c r="I28" s="5" t="n">
        <v>991</v>
      </c>
      <c r="J28" s="5" t="n">
        <v>1073</v>
      </c>
      <c r="K28" s="5" t="n">
        <v>1155</v>
      </c>
    </row>
    <row r="29">
      <c r="A29" s="4" t="inlineStr">
        <is>
          <t xml:space="preserve">  Total MAU YoY Growth</t>
        </is>
      </c>
      <c r="B29" s="6" t="n"/>
      <c r="C29" s="6">
        <f>IF(B28=0,0,(C28-B28)/B28)</f>
        <v/>
      </c>
      <c r="D29" s="6">
        <f>IF(C28=0,0,(D28-C28)/C28)</f>
        <v/>
      </c>
      <c r="E29" s="6">
        <f>IF(D28=0,0,(E28-D28)/D28)</f>
        <v/>
      </c>
      <c r="F29" s="6">
        <f>IF(E28=0,0,(F28-E28)/E28)</f>
        <v/>
      </c>
      <c r="G29" s="6">
        <f>IF(F28=0,0,(G28-F28)/F28)</f>
        <v/>
      </c>
      <c r="H29" s="6">
        <f>IF(G28=0,0,(H28-G28)/G28)</f>
        <v/>
      </c>
      <c r="I29" s="6">
        <f>IF(H28=0,0,(I28-H28)/H28)</f>
        <v/>
      </c>
      <c r="J29" s="6">
        <f>IF(I28=0,0,(J28-I28)/I28)</f>
        <v/>
      </c>
      <c r="K29" s="6">
        <f>IF(J28=0,0,(K28-J28)/J28)</f>
        <v/>
      </c>
    </row>
    <row r="30">
      <c r="A30" s="4" t="inlineStr">
        <is>
          <t>Premium Conversion Rate</t>
        </is>
      </c>
      <c r="B30" s="6">
        <f>B7/B28</f>
        <v/>
      </c>
      <c r="C30" s="6">
        <f>C7/C28</f>
        <v/>
      </c>
      <c r="D30" s="6">
        <f>D7/D28</f>
        <v/>
      </c>
      <c r="E30" s="6">
        <f>E7/E28</f>
        <v/>
      </c>
      <c r="F30" s="6">
        <f>F7/F28</f>
        <v/>
      </c>
      <c r="G30" s="6">
        <f>G7/G28</f>
        <v/>
      </c>
      <c r="H30" s="6">
        <f>H7/H28</f>
        <v/>
      </c>
      <c r="I30" s="6">
        <f>I7/I28</f>
        <v/>
      </c>
      <c r="J30" s="6">
        <f>J7/J28</f>
        <v/>
      </c>
      <c r="K30" s="6">
        <f>K7/K28</f>
        <v/>
      </c>
    </row>
    <row r="33">
      <c r="A33" s="1" t="inlineStr">
        <is>
          <t>REVENUE BY GEOGRAPHY</t>
        </is>
      </c>
    </row>
    <row r="34">
      <c r="A34" s="4" t="inlineStr">
        <is>
          <t>Europe</t>
        </is>
      </c>
      <c r="B34" s="5" t="n">
        <v>3673</v>
      </c>
      <c r="C34" s="5" t="n">
        <v>4338</v>
      </c>
      <c r="D34" s="5" t="n">
        <v>4901</v>
      </c>
      <c r="E34" s="5" t="n">
        <v>5642</v>
      </c>
      <c r="F34" s="5" t="n">
        <v>6015</v>
      </c>
      <c r="G34" s="11">
        <f>G23*G38</f>
        <v/>
      </c>
      <c r="H34" s="11">
        <f>H23*H38</f>
        <v/>
      </c>
      <c r="I34" s="11">
        <f>I23*I38</f>
        <v/>
      </c>
      <c r="J34" s="11">
        <f>J23*J38</f>
        <v/>
      </c>
      <c r="K34" s="11">
        <f>K23*K38</f>
        <v/>
      </c>
    </row>
    <row r="35">
      <c r="A35" s="4" t="inlineStr">
        <is>
          <t>North America</t>
        </is>
      </c>
      <c r="B35" s="5" t="n">
        <v>2803</v>
      </c>
      <c r="C35" s="5" t="n">
        <v>3518</v>
      </c>
      <c r="D35" s="5" t="n">
        <v>3974</v>
      </c>
      <c r="E35" s="5" t="n">
        <v>4701</v>
      </c>
      <c r="F35" s="5" t="n">
        <v>5327</v>
      </c>
      <c r="G35" s="11">
        <f>G23*G39</f>
        <v/>
      </c>
      <c r="H35" s="11">
        <f>H23*H39</f>
        <v/>
      </c>
      <c r="I35" s="11">
        <f>I23*I39</f>
        <v/>
      </c>
      <c r="J35" s="11">
        <f>J23*J39</f>
        <v/>
      </c>
      <c r="K35" s="11">
        <f>K23*K39</f>
        <v/>
      </c>
    </row>
    <row r="36">
      <c r="A36" s="4" t="inlineStr">
        <is>
          <t>Latin America</t>
        </is>
      </c>
      <c r="B36" s="5" t="n">
        <v>1740</v>
      </c>
      <c r="C36" s="5" t="n">
        <v>2110</v>
      </c>
      <c r="D36" s="5" t="n">
        <v>2384</v>
      </c>
      <c r="E36" s="5" t="n">
        <v>2977</v>
      </c>
      <c r="F36" s="5" t="n">
        <v>3265</v>
      </c>
      <c r="G36" s="11">
        <f>G23*G40</f>
        <v/>
      </c>
      <c r="H36" s="11">
        <f>H23*H40</f>
        <v/>
      </c>
      <c r="I36" s="11">
        <f>I23*I40</f>
        <v/>
      </c>
      <c r="J36" s="11">
        <f>J23*J40</f>
        <v/>
      </c>
      <c r="K36" s="11">
        <f>K23*K40</f>
        <v/>
      </c>
    </row>
    <row r="37">
      <c r="A37" s="4" t="inlineStr">
        <is>
          <t>Rest of World</t>
        </is>
      </c>
      <c r="B37" s="5" t="n">
        <v>1452</v>
      </c>
      <c r="C37" s="5" t="n">
        <v>1761</v>
      </c>
      <c r="D37" s="5" t="n">
        <v>1988</v>
      </c>
      <c r="E37" s="5" t="n">
        <v>2353</v>
      </c>
      <c r="F37" s="5" t="n">
        <v>2579</v>
      </c>
      <c r="G37" s="11">
        <f>G23*G41</f>
        <v/>
      </c>
      <c r="H37" s="11">
        <f>H23*H41</f>
        <v/>
      </c>
      <c r="I37" s="11">
        <f>I23*I41</f>
        <v/>
      </c>
      <c r="J37" s="11">
        <f>J23*J41</f>
        <v/>
      </c>
      <c r="K37" s="11">
        <f>K23*K41</f>
        <v/>
      </c>
    </row>
    <row r="38">
      <c r="A38" s="4" t="inlineStr">
        <is>
          <t xml:space="preserve">  Europe % of Total</t>
        </is>
      </c>
      <c r="B38" s="6">
        <f>B34/B23</f>
        <v/>
      </c>
      <c r="C38" s="6">
        <f>C34/C23</f>
        <v/>
      </c>
      <c r="D38" s="6">
        <f>D34/D23</f>
        <v/>
      </c>
      <c r="E38" s="6">
        <f>E34/E23</f>
        <v/>
      </c>
      <c r="F38" s="6">
        <f>F34/F23</f>
        <v/>
      </c>
      <c r="G38" s="14" t="n">
        <v>0.34</v>
      </c>
      <c r="H38" s="14" t="n">
        <v>0.33</v>
      </c>
      <c r="I38" s="14" t="n">
        <v>0.32</v>
      </c>
      <c r="J38" s="14" t="n">
        <v>0.32</v>
      </c>
      <c r="K38" s="14" t="n">
        <v>0.31</v>
      </c>
    </row>
    <row r="39">
      <c r="A39" s="4" t="inlineStr">
        <is>
          <t xml:space="preserve">  North America % of Total</t>
        </is>
      </c>
      <c r="B39" s="6">
        <f>B35/B23</f>
        <v/>
      </c>
      <c r="C39" s="6">
        <f>C35/C23</f>
        <v/>
      </c>
      <c r="D39" s="6">
        <f>D35/D23</f>
        <v/>
      </c>
      <c r="E39" s="6">
        <f>E35/E23</f>
        <v/>
      </c>
      <c r="F39" s="6">
        <f>F35/F23</f>
        <v/>
      </c>
      <c r="G39" s="14" t="n">
        <v>0.31</v>
      </c>
      <c r="H39" s="14" t="n">
        <v>0.32</v>
      </c>
      <c r="I39" s="14" t="n">
        <v>0.32</v>
      </c>
      <c r="J39" s="14" t="n">
        <v>0.33</v>
      </c>
      <c r="K39" s="14" t="n">
        <v>0.33</v>
      </c>
    </row>
    <row r="40">
      <c r="A40" s="4" t="inlineStr">
        <is>
          <t xml:space="preserve">  Latin America % of Total</t>
        </is>
      </c>
      <c r="B40" s="6">
        <f>B36/B23</f>
        <v/>
      </c>
      <c r="C40" s="6">
        <f>C36/C23</f>
        <v/>
      </c>
      <c r="D40" s="6">
        <f>D36/D23</f>
        <v/>
      </c>
      <c r="E40" s="6">
        <f>E36/E23</f>
        <v/>
      </c>
      <c r="F40" s="6">
        <f>F36/F23</f>
        <v/>
      </c>
      <c r="G40" s="14" t="n">
        <v>0.2</v>
      </c>
      <c r="H40" s="14" t="n">
        <v>0.2</v>
      </c>
      <c r="I40" s="14" t="n">
        <v>0.21</v>
      </c>
      <c r="J40" s="14" t="n">
        <v>0.21</v>
      </c>
      <c r="K40" s="14" t="n">
        <v>0.22</v>
      </c>
    </row>
    <row r="41">
      <c r="A41" s="4" t="inlineStr">
        <is>
          <t xml:space="preserve">  Rest of World % of Total</t>
        </is>
      </c>
      <c r="B41" s="6">
        <f>B37/B23</f>
        <v/>
      </c>
      <c r="C41" s="6">
        <f>C37/C23</f>
        <v/>
      </c>
      <c r="D41" s="6">
        <f>D37/D23</f>
        <v/>
      </c>
      <c r="E41" s="6">
        <f>E37/E23</f>
        <v/>
      </c>
      <c r="F41" s="6">
        <f>F37/F23</f>
        <v/>
      </c>
      <c r="G41" s="6">
        <f>1-G38-G39-G40</f>
        <v/>
      </c>
      <c r="H41" s="6">
        <f>1-H38-H39-H40</f>
        <v/>
      </c>
      <c r="I41" s="6">
        <f>1-I38-I39-I40</f>
        <v/>
      </c>
      <c r="J41" s="6">
        <f>1-J38-J39-J40</f>
        <v/>
      </c>
      <c r="K41" s="6">
        <f>1-K38-K39-K40</f>
        <v/>
      </c>
    </row>
    <row r="43">
      <c r="A43" s="1" t="inlineStr">
        <is>
          <t>Geo Total (Verification)</t>
        </is>
      </c>
      <c r="B43" s="11">
        <f>B34+B35+B36+B37</f>
        <v/>
      </c>
      <c r="C43" s="11">
        <f>C34+C35+C36+C37</f>
        <v/>
      </c>
      <c r="D43" s="11">
        <f>D34+D35+D36+D37</f>
        <v/>
      </c>
      <c r="E43" s="11">
        <f>E34+E35+E36+E37</f>
        <v/>
      </c>
      <c r="F43" s="11">
        <f>F34+F35+F36+F37</f>
        <v/>
      </c>
      <c r="G43" s="11">
        <f>G34+G35+G36+G37</f>
        <v/>
      </c>
      <c r="H43" s="11">
        <f>H34+H35+H36+H37</f>
        <v/>
      </c>
      <c r="I43" s="11">
        <f>I34+I35+I36+I37</f>
        <v/>
      </c>
      <c r="J43" s="11">
        <f>J34+J35+J36+J37</f>
        <v/>
      </c>
      <c r="K43" s="11">
        <f>K34+K35+K36+K37</f>
        <v/>
      </c>
    </row>
    <row r="44">
      <c r="A44" s="4" t="inlineStr">
        <is>
          <t xml:space="preserve">  Europe YoY Growth</t>
        </is>
      </c>
      <c r="B44" s="6" t="n"/>
      <c r="C44" s="6">
        <f>IF(B34=0,0,(C34-B34)/B34)</f>
        <v/>
      </c>
      <c r="D44" s="6">
        <f>IF(C34=0,0,(D34-C34)/C34)</f>
        <v/>
      </c>
      <c r="E44" s="6">
        <f>IF(D34=0,0,(E34-D34)/D34)</f>
        <v/>
      </c>
      <c r="F44" s="6">
        <f>IF(E34=0,0,(F34-E34)/E34)</f>
        <v/>
      </c>
      <c r="G44" s="6">
        <f>IF(F34=0,0,(G34-F34)/F34)</f>
        <v/>
      </c>
      <c r="H44" s="6">
        <f>IF(G34=0,0,(H34-G34)/G34)</f>
        <v/>
      </c>
      <c r="I44" s="6">
        <f>IF(H34=0,0,(I34-H34)/H34)</f>
        <v/>
      </c>
      <c r="J44" s="6">
        <f>IF(I34=0,0,(J34-I34)/I34)</f>
        <v/>
      </c>
      <c r="K44" s="6">
        <f>IF(J34=0,0,(K34-J34)/J34)</f>
        <v/>
      </c>
    </row>
    <row r="45">
      <c r="A45" s="4" t="inlineStr">
        <is>
          <t xml:space="preserve">  North America YoY Growth</t>
        </is>
      </c>
      <c r="B45" s="6" t="n"/>
      <c r="C45" s="6">
        <f>IF(B35=0,0,(C35-B35)/B35)</f>
        <v/>
      </c>
      <c r="D45" s="6">
        <f>IF(C35=0,0,(D35-C35)/C35)</f>
        <v/>
      </c>
      <c r="E45" s="6">
        <f>IF(D35=0,0,(E35-D35)/D35)</f>
        <v/>
      </c>
      <c r="F45" s="6">
        <f>IF(E35=0,0,(F35-E35)/E35)</f>
        <v/>
      </c>
      <c r="G45" s="6">
        <f>IF(F35=0,0,(G35-F35)/F35)</f>
        <v/>
      </c>
      <c r="H45" s="6">
        <f>IF(G35=0,0,(H35-G35)/G35)</f>
        <v/>
      </c>
      <c r="I45" s="6">
        <f>IF(H35=0,0,(I35-H35)/H35)</f>
        <v/>
      </c>
      <c r="J45" s="6">
        <f>IF(I35=0,0,(J35-I35)/I35)</f>
        <v/>
      </c>
      <c r="K45" s="6">
        <f>IF(J35=0,0,(K35-J35)/J35)</f>
        <v/>
      </c>
    </row>
    <row r="46">
      <c r="A46" s="4" t="inlineStr">
        <is>
          <t xml:space="preserve">  Latin America YoY Growth</t>
        </is>
      </c>
      <c r="B46" s="6" t="n"/>
      <c r="C46" s="6">
        <f>IF(B36=0,0,(C36-B36)/B36)</f>
        <v/>
      </c>
      <c r="D46" s="6">
        <f>IF(C36=0,0,(D36-C36)/C36)</f>
        <v/>
      </c>
      <c r="E46" s="6">
        <f>IF(D36=0,0,(E36-D36)/D36)</f>
        <v/>
      </c>
      <c r="F46" s="6">
        <f>IF(E36=0,0,(F36-E36)/E36)</f>
        <v/>
      </c>
      <c r="G46" s="6">
        <f>IF(F36=0,0,(G36-F36)/F36)</f>
        <v/>
      </c>
      <c r="H46" s="6">
        <f>IF(G36=0,0,(H36-G36)/G36)</f>
        <v/>
      </c>
      <c r="I46" s="6">
        <f>IF(H36=0,0,(I36-H36)/H36)</f>
        <v/>
      </c>
      <c r="J46" s="6">
        <f>IF(I36=0,0,(J36-I36)/I36)</f>
        <v/>
      </c>
      <c r="K46" s="6">
        <f>IF(J36=0,0,(K36-J36)/J36)</f>
        <v/>
      </c>
    </row>
    <row r="47">
      <c r="A47" s="4" t="inlineStr">
        <is>
          <t xml:space="preserve">  Rest of World YoY Growth</t>
        </is>
      </c>
      <c r="B47" s="6" t="n"/>
      <c r="C47" s="6">
        <f>IF(B37=0,0,(C37-B37)/B37)</f>
        <v/>
      </c>
      <c r="D47" s="6">
        <f>IF(C37=0,0,(D37-C37)/C37)</f>
        <v/>
      </c>
      <c r="E47" s="6">
        <f>IF(D37=0,0,(E37-D37)/D37)</f>
        <v/>
      </c>
      <c r="F47" s="6">
        <f>IF(E37=0,0,(F37-E37)/E37)</f>
        <v/>
      </c>
      <c r="G47" s="6">
        <f>IF(F37=0,0,(G37-F37)/F37)</f>
        <v/>
      </c>
      <c r="H47" s="6">
        <f>IF(G37=0,0,(H37-G37)/G37)</f>
        <v/>
      </c>
      <c r="I47" s="6">
        <f>IF(H37=0,0,(I37-H37)/H37)</f>
        <v/>
      </c>
      <c r="J47" s="6">
        <f>IF(I37=0,0,(J37-I37)/I37)</f>
        <v/>
      </c>
      <c r="K47" s="6">
        <f>IF(J37=0,0,(K37-J37)/J37)</f>
        <v/>
      </c>
    </row>
    <row r="49">
      <c r="A49" s="1" t="inlineStr">
        <is>
          <t>VERIFICATION: Product = Geo Total</t>
        </is>
      </c>
      <c r="B49" s="15">
        <f>IF(ABS(B23-B43)&lt;1,"OK","ERROR")</f>
        <v/>
      </c>
      <c r="C49" s="15">
        <f>IF(ABS(C23-C43)&lt;1,"OK","ERROR")</f>
        <v/>
      </c>
      <c r="D49" s="15">
        <f>IF(ABS(D23-D43)&lt;1,"OK","ERROR")</f>
        <v/>
      </c>
      <c r="E49" s="15">
        <f>IF(ABS(E23-E43)&lt;1,"OK","ERROR")</f>
        <v/>
      </c>
      <c r="F49" s="15">
        <f>IF(ABS(F23-F43)&lt;1,"OK","ERROR")</f>
        <v/>
      </c>
      <c r="G49" s="15">
        <f>IF(ABS(G23-G43)&lt;1,"OK","ERROR")</f>
        <v/>
      </c>
      <c r="H49" s="15">
        <f>IF(ABS(H23-H43)&lt;1,"OK","ERROR")</f>
        <v/>
      </c>
      <c r="I49" s="15">
        <f>IF(ABS(I23-I43)&lt;1,"OK","ERROR")</f>
        <v/>
      </c>
      <c r="J49" s="15">
        <f>IF(ABS(J23-J43)&lt;1,"OK","ERROR")</f>
        <v/>
      </c>
      <c r="K49" s="15">
        <f>IF(ABS(K23-K43)&lt;1,"OK","ERROR")</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SPOTIFY TECHNOLOGY S.A. — INCOME STATEMENT</t>
        </is>
      </c>
    </row>
    <row r="2">
      <c r="A2" s="2" t="inlineStr">
        <is>
          <t>(EUR millions unless noted)</t>
        </is>
      </c>
    </row>
    <row r="4">
      <c r="A4" s="3" t="inlineStr"/>
      <c r="B4" s="3" t="inlineStr">
        <is>
          <t>2021A</t>
        </is>
      </c>
      <c r="C4" s="3" t="inlineStr">
        <is>
          <t>2022A</t>
        </is>
      </c>
      <c r="D4" s="3" t="inlineStr">
        <is>
          <t>2023A</t>
        </is>
      </c>
      <c r="E4" s="3" t="inlineStr">
        <is>
          <t>2024A</t>
        </is>
      </c>
      <c r="F4" s="3" t="inlineStr">
        <is>
          <t>2025A</t>
        </is>
      </c>
      <c r="G4" s="3" t="inlineStr">
        <is>
          <t>2026E</t>
        </is>
      </c>
      <c r="H4" s="3" t="inlineStr">
        <is>
          <t>2027E</t>
        </is>
      </c>
      <c r="I4" s="3" t="inlineStr">
        <is>
          <t>2028E</t>
        </is>
      </c>
      <c r="J4" s="3" t="inlineStr">
        <is>
          <t>2029E</t>
        </is>
      </c>
      <c r="K4" s="3" t="inlineStr">
        <is>
          <t>2030E</t>
        </is>
      </c>
    </row>
    <row r="6">
      <c r="A6" s="1" t="inlineStr">
        <is>
          <t>Revenue</t>
        </is>
      </c>
      <c r="B6" s="16">
        <f>'Revenue Model'!B23</f>
        <v/>
      </c>
      <c r="C6" s="16">
        <f>'Revenue Model'!C23</f>
        <v/>
      </c>
      <c r="D6" s="16">
        <f>'Revenue Model'!D23</f>
        <v/>
      </c>
      <c r="E6" s="16">
        <f>'Revenue Model'!E23</f>
        <v/>
      </c>
      <c r="F6" s="16">
        <f>'Revenue Model'!F23</f>
        <v/>
      </c>
      <c r="G6" s="16">
        <f>'Revenue Model'!G23</f>
        <v/>
      </c>
      <c r="H6" s="16">
        <f>'Revenue Model'!H23</f>
        <v/>
      </c>
      <c r="I6" s="16">
        <f>'Revenue Model'!I23</f>
        <v/>
      </c>
      <c r="J6" s="16">
        <f>'Revenue Model'!J23</f>
        <v/>
      </c>
      <c r="K6" s="16">
        <f>'Revenue Model'!K23</f>
        <v/>
      </c>
    </row>
    <row r="7">
      <c r="A7" s="4" t="inlineStr">
        <is>
          <t xml:space="preserve">  Revenue YoY Growth</t>
        </is>
      </c>
      <c r="B7" s="6" t="n"/>
      <c r="C7" s="6">
        <f>IF(B6=0,0,(C6-B6)/B6)</f>
        <v/>
      </c>
      <c r="D7" s="6">
        <f>IF(C6=0,0,(D6-C6)/C6)</f>
        <v/>
      </c>
      <c r="E7" s="6">
        <f>IF(D6=0,0,(E6-D6)/D6)</f>
        <v/>
      </c>
      <c r="F7" s="6">
        <f>IF(E6=0,0,(F6-E6)/E6)</f>
        <v/>
      </c>
      <c r="G7" s="6">
        <f>IF(F6=0,0,(G6-F6)/F6)</f>
        <v/>
      </c>
      <c r="H7" s="6">
        <f>IF(G6=0,0,(H6-G6)/G6)</f>
        <v/>
      </c>
      <c r="I7" s="6">
        <f>IF(H6=0,0,(I6-H6)/H6)</f>
        <v/>
      </c>
      <c r="J7" s="6">
        <f>IF(I6=0,0,(J6-I6)/I6)</f>
        <v/>
      </c>
      <c r="K7" s="6">
        <f>IF(J6=0,0,(K6-J6)/J6)</f>
        <v/>
      </c>
    </row>
    <row r="9">
      <c r="A9" s="4" t="inlineStr">
        <is>
          <t>Cost of Revenue</t>
        </is>
      </c>
      <c r="B9" s="5" t="n">
        <v>-7077</v>
      </c>
      <c r="C9" s="5" t="n">
        <v>-8801</v>
      </c>
      <c r="D9" s="5" t="n">
        <v>-9800</v>
      </c>
      <c r="E9" s="5" t="n">
        <v>-10935</v>
      </c>
      <c r="F9" s="5" t="n">
        <v>-11690</v>
      </c>
      <c r="G9" s="11">
        <f>-G6*(1-G12)</f>
        <v/>
      </c>
      <c r="H9" s="11">
        <f>-H6*(1-H12)</f>
        <v/>
      </c>
      <c r="I9" s="11">
        <f>-I6*(1-I12)</f>
        <v/>
      </c>
      <c r="J9" s="11">
        <f>-J6*(1-J12)</f>
        <v/>
      </c>
      <c r="K9" s="11">
        <f>-K6*(1-K12)</f>
        <v/>
      </c>
    </row>
    <row r="10">
      <c r="A10" s="4" t="inlineStr">
        <is>
          <t xml:space="preserve">  COGS % of Revenue</t>
        </is>
      </c>
      <c r="B10" s="6">
        <f>-B9/B6</f>
        <v/>
      </c>
      <c r="C10" s="6">
        <f>-C9/C6</f>
        <v/>
      </c>
      <c r="D10" s="6">
        <f>-D9/D6</f>
        <v/>
      </c>
      <c r="E10" s="6">
        <f>-E9/E6</f>
        <v/>
      </c>
      <c r="F10" s="6">
        <f>-F9/F6</f>
        <v/>
      </c>
      <c r="G10" s="6">
        <f>-G9/G6</f>
        <v/>
      </c>
      <c r="H10" s="6">
        <f>-H9/H6</f>
        <v/>
      </c>
      <c r="I10" s="6">
        <f>-I9/I6</f>
        <v/>
      </c>
      <c r="J10" s="6">
        <f>-J9/J6</f>
        <v/>
      </c>
      <c r="K10" s="6">
        <f>-K9/K6</f>
        <v/>
      </c>
    </row>
    <row r="12">
      <c r="A12" s="4" t="inlineStr">
        <is>
          <t>Gross Margin % (assumption)</t>
        </is>
      </c>
      <c r="B12" s="6">
        <f>(B6+B9)/B6</f>
        <v/>
      </c>
      <c r="C12" s="6">
        <f>(C6+C9)/C6</f>
        <v/>
      </c>
      <c r="D12" s="6">
        <f>(D6+D9)/D6</f>
        <v/>
      </c>
      <c r="E12" s="6">
        <f>(E6+E9)/E6</f>
        <v/>
      </c>
      <c r="F12" s="6">
        <f>(F6+F9)/F6</f>
        <v/>
      </c>
      <c r="G12" s="14" t="n">
        <v>0.325</v>
      </c>
      <c r="H12" s="14" t="n">
        <v>0.33</v>
      </c>
      <c r="I12" s="14" t="n">
        <v>0.335</v>
      </c>
      <c r="J12" s="14" t="n">
        <v>0.34</v>
      </c>
      <c r="K12" s="14" t="n">
        <v>0.345</v>
      </c>
    </row>
    <row r="13">
      <c r="A13" s="1" t="inlineStr">
        <is>
          <t>Gross Profit</t>
        </is>
      </c>
      <c r="B13" s="17">
        <f>B6+B9</f>
        <v/>
      </c>
      <c r="C13" s="17">
        <f>C6+C9</f>
        <v/>
      </c>
      <c r="D13" s="17">
        <f>D6+D9</f>
        <v/>
      </c>
      <c r="E13" s="17">
        <f>E6+E9</f>
        <v/>
      </c>
      <c r="F13" s="17">
        <f>F6+F9</f>
        <v/>
      </c>
      <c r="G13" s="17">
        <f>G6+G9</f>
        <v/>
      </c>
      <c r="H13" s="17">
        <f>H6+H9</f>
        <v/>
      </c>
      <c r="I13" s="17">
        <f>I6+I9</f>
        <v/>
      </c>
      <c r="J13" s="17">
        <f>J6+J9</f>
        <v/>
      </c>
      <c r="K13" s="17">
        <f>K6+K9</f>
        <v/>
      </c>
    </row>
    <row r="15">
      <c r="A15" s="1" t="inlineStr">
        <is>
          <t>OPERATING EXPENSES</t>
        </is>
      </c>
    </row>
    <row r="16">
      <c r="A16" s="4" t="inlineStr">
        <is>
          <t xml:space="preserve">  Research &amp; Development</t>
        </is>
      </c>
      <c r="B16" s="5" t="n">
        <v>-912</v>
      </c>
      <c r="C16" s="5" t="n">
        <v>-1387</v>
      </c>
      <c r="D16" s="5" t="n">
        <v>-1606</v>
      </c>
      <c r="E16" s="5" t="n">
        <v>-1486</v>
      </c>
      <c r="F16" s="5" t="n">
        <v>-1393</v>
      </c>
      <c r="G16" s="11">
        <f>-G6*G21</f>
        <v/>
      </c>
      <c r="H16" s="11">
        <f>-H6*H21</f>
        <v/>
      </c>
      <c r="I16" s="11">
        <f>-I6*I21</f>
        <v/>
      </c>
      <c r="J16" s="11">
        <f>-J6*J21</f>
        <v/>
      </c>
      <c r="K16" s="11">
        <f>-K6*K21</f>
        <v/>
      </c>
    </row>
    <row r="17">
      <c r="A17" s="4" t="inlineStr">
        <is>
          <t xml:space="preserve">  Sales &amp; Marketing</t>
        </is>
      </c>
      <c r="B17" s="5" t="n">
        <v>-1132</v>
      </c>
      <c r="C17" s="5" t="n">
        <v>-1564</v>
      </c>
      <c r="D17" s="5" t="n">
        <v>-1599</v>
      </c>
      <c r="E17" s="5" t="n">
        <v>-1402</v>
      </c>
      <c r="F17" s="5" t="n">
        <v>-1300</v>
      </c>
      <c r="G17" s="11">
        <f>-G6*G22</f>
        <v/>
      </c>
      <c r="H17" s="11">
        <f>-H6*H22</f>
        <v/>
      </c>
      <c r="I17" s="11">
        <f>-I6*I22</f>
        <v/>
      </c>
      <c r="J17" s="11">
        <f>-J6*J22</f>
        <v/>
      </c>
      <c r="K17" s="11">
        <f>-K6*K22</f>
        <v/>
      </c>
    </row>
    <row r="18">
      <c r="A18" s="4" t="inlineStr">
        <is>
          <t xml:space="preserve">  General &amp; Administrative</t>
        </is>
      </c>
      <c r="B18" s="5" t="n">
        <v>-453</v>
      </c>
      <c r="C18" s="5" t="n">
        <v>-634</v>
      </c>
      <c r="D18" s="5" t="n">
        <v>-441</v>
      </c>
      <c r="E18" s="5" t="n">
        <v>-471</v>
      </c>
      <c r="F18" s="5" t="n">
        <v>-605</v>
      </c>
      <c r="G18" s="11">
        <f>-G6*G23</f>
        <v/>
      </c>
      <c r="H18" s="11">
        <f>-H6*H23</f>
        <v/>
      </c>
      <c r="I18" s="11">
        <f>-I6*I23</f>
        <v/>
      </c>
      <c r="J18" s="11">
        <f>-J6*J23</f>
        <v/>
      </c>
      <c r="K18" s="11">
        <f>-K6*K23</f>
        <v/>
      </c>
    </row>
    <row r="19">
      <c r="A19" s="1" t="inlineStr">
        <is>
          <t>Total Operating Expenses</t>
        </is>
      </c>
      <c r="B19" s="17">
        <f>B16+B17+B18</f>
        <v/>
      </c>
      <c r="C19" s="17">
        <f>C16+C17+C18</f>
        <v/>
      </c>
      <c r="D19" s="17">
        <f>D16+D17+D18</f>
        <v/>
      </c>
      <c r="E19" s="17">
        <f>E16+E17+E18</f>
        <v/>
      </c>
      <c r="F19" s="17">
        <f>F16+F17+F18</f>
        <v/>
      </c>
      <c r="G19" s="17">
        <f>G16+G17+G18</f>
        <v/>
      </c>
      <c r="H19" s="17">
        <f>H16+H17+H18</f>
        <v/>
      </c>
      <c r="I19" s="17">
        <f>I16+I17+I18</f>
        <v/>
      </c>
      <c r="J19" s="17">
        <f>J16+J17+J18</f>
        <v/>
      </c>
      <c r="K19" s="17">
        <f>K16+K17+K18</f>
        <v/>
      </c>
    </row>
    <row r="21">
      <c r="A21" s="4" t="inlineStr">
        <is>
          <t xml:space="preserve">  R&amp;D % of Revenue</t>
        </is>
      </c>
      <c r="B21" s="6">
        <f>-B16/B6</f>
        <v/>
      </c>
      <c r="C21" s="6">
        <f>-C16/C6</f>
        <v/>
      </c>
      <c r="D21" s="6">
        <f>-D16/D6</f>
        <v/>
      </c>
      <c r="E21" s="6">
        <f>-E16/E6</f>
        <v/>
      </c>
      <c r="F21" s="6">
        <f>-F16/F6</f>
        <v/>
      </c>
      <c r="G21" s="14" t="n">
        <v>0.078</v>
      </c>
      <c r="H21" s="14" t="n">
        <v>0.075</v>
      </c>
      <c r="I21" s="14" t="n">
        <v>0.07199999999999999</v>
      </c>
      <c r="J21" s="14" t="n">
        <v>0.07000000000000001</v>
      </c>
      <c r="K21" s="14" t="n">
        <v>0.068</v>
      </c>
    </row>
    <row r="22">
      <c r="A22" s="4" t="inlineStr">
        <is>
          <t xml:space="preserve">  S&amp;M % of Revenue</t>
        </is>
      </c>
      <c r="B22" s="6">
        <f>-B17/B6</f>
        <v/>
      </c>
      <c r="C22" s="6">
        <f>-C17/C6</f>
        <v/>
      </c>
      <c r="D22" s="6">
        <f>-D17/D6</f>
        <v/>
      </c>
      <c r="E22" s="6">
        <f>-E17/E6</f>
        <v/>
      </c>
      <c r="F22" s="6">
        <f>-F17/F6</f>
        <v/>
      </c>
      <c r="G22" s="14" t="n">
        <v>0.07199999999999999</v>
      </c>
      <c r="H22" s="14" t="n">
        <v>0.068</v>
      </c>
      <c r="I22" s="14" t="n">
        <v>0.065</v>
      </c>
      <c r="J22" s="14" t="n">
        <v>0.062</v>
      </c>
      <c r="K22" s="14" t="n">
        <v>0.06</v>
      </c>
    </row>
    <row r="23">
      <c r="A23" s="4" t="inlineStr">
        <is>
          <t xml:space="preserve">  G&amp;A % of Revenue</t>
        </is>
      </c>
      <c r="B23" s="6">
        <f>-B18/B6</f>
        <v/>
      </c>
      <c r="C23" s="6">
        <f>-C18/C6</f>
        <v/>
      </c>
      <c r="D23" s="6">
        <f>-D18/D6</f>
        <v/>
      </c>
      <c r="E23" s="6">
        <f>-E18/E6</f>
        <v/>
      </c>
      <c r="F23" s="6">
        <f>-F18/F6</f>
        <v/>
      </c>
      <c r="G23" s="14" t="n">
        <v>0.033</v>
      </c>
      <c r="H23" s="14" t="n">
        <v>0.032</v>
      </c>
      <c r="I23" s="14" t="n">
        <v>0.031</v>
      </c>
      <c r="J23" s="14" t="n">
        <v>0.03</v>
      </c>
      <c r="K23" s="14" t="n">
        <v>0.029</v>
      </c>
    </row>
    <row r="25">
      <c r="A25" s="1" t="inlineStr">
        <is>
          <t>EBITDA</t>
        </is>
      </c>
      <c r="B25" s="18">
        <f>B31+B28</f>
        <v/>
      </c>
      <c r="C25" s="18">
        <f>C31+C28</f>
        <v/>
      </c>
      <c r="D25" s="18">
        <f>D31+D28</f>
        <v/>
      </c>
      <c r="E25" s="18">
        <f>E31+E28</f>
        <v/>
      </c>
      <c r="F25" s="18">
        <f>F31+F28</f>
        <v/>
      </c>
      <c r="G25" s="18">
        <f>G31+G28</f>
        <v/>
      </c>
      <c r="H25" s="18">
        <f>H31+H28</f>
        <v/>
      </c>
      <c r="I25" s="18">
        <f>I31+I28</f>
        <v/>
      </c>
      <c r="J25" s="18">
        <f>J31+J28</f>
        <v/>
      </c>
      <c r="K25" s="18">
        <f>K31+K28</f>
        <v/>
      </c>
    </row>
    <row r="26">
      <c r="A26" s="4" t="inlineStr">
        <is>
          <t xml:space="preserve">  EBITDA Margin %</t>
        </is>
      </c>
      <c r="B26" s="6">
        <f>B25/B6</f>
        <v/>
      </c>
      <c r="C26" s="6">
        <f>C25/C6</f>
        <v/>
      </c>
      <c r="D26" s="6">
        <f>D25/D6</f>
        <v/>
      </c>
      <c r="E26" s="6">
        <f>E25/E6</f>
        <v/>
      </c>
      <c r="F26" s="6">
        <f>F25/F6</f>
        <v/>
      </c>
      <c r="G26" s="6">
        <f>G25/G6</f>
        <v/>
      </c>
      <c r="H26" s="6">
        <f>H25/H6</f>
        <v/>
      </c>
      <c r="I26" s="6">
        <f>I25/I6</f>
        <v/>
      </c>
      <c r="J26" s="6">
        <f>J25/J6</f>
        <v/>
      </c>
      <c r="K26" s="6">
        <f>K25/K6</f>
        <v/>
      </c>
    </row>
    <row r="28">
      <c r="A28" s="4" t="inlineStr">
        <is>
          <t>Depreciation &amp; Amortization</t>
        </is>
      </c>
      <c r="B28" s="5" t="n">
        <v>127</v>
      </c>
      <c r="C28" s="5" t="n">
        <v>171</v>
      </c>
      <c r="D28" s="5" t="n">
        <v>158</v>
      </c>
      <c r="E28" s="5" t="n">
        <v>69</v>
      </c>
      <c r="F28" s="5" t="n">
        <v>56</v>
      </c>
      <c r="G28" s="5" t="n">
        <v>50</v>
      </c>
      <c r="H28" s="5" t="n">
        <v>48</v>
      </c>
      <c r="I28" s="5" t="n">
        <v>46</v>
      </c>
      <c r="J28" s="5" t="n">
        <v>44</v>
      </c>
      <c r="K28" s="5" t="n">
        <v>42</v>
      </c>
    </row>
    <row r="29">
      <c r="A29" s="4" t="inlineStr">
        <is>
          <t>Stock-Based Compensation</t>
        </is>
      </c>
      <c r="B29" s="5" t="n">
        <v>223</v>
      </c>
      <c r="C29" s="5" t="n">
        <v>381</v>
      </c>
      <c r="D29" s="5" t="n">
        <v>321</v>
      </c>
      <c r="E29" s="5" t="n">
        <v>267</v>
      </c>
      <c r="F29" s="5" t="n">
        <v>247</v>
      </c>
      <c r="G29" s="5" t="n">
        <v>240</v>
      </c>
      <c r="H29" s="5" t="n">
        <v>235</v>
      </c>
      <c r="I29" s="5" t="n">
        <v>230</v>
      </c>
      <c r="J29" s="5" t="n">
        <v>225</v>
      </c>
      <c r="K29" s="5" t="n">
        <v>220</v>
      </c>
    </row>
    <row r="31">
      <c r="A31" s="1" t="inlineStr">
        <is>
          <t>Operating Income (EBIT)</t>
        </is>
      </c>
      <c r="B31" s="17">
        <f>B13+B19</f>
        <v/>
      </c>
      <c r="C31" s="17">
        <f>C13+C19</f>
        <v/>
      </c>
      <c r="D31" s="17">
        <f>D13+D19</f>
        <v/>
      </c>
      <c r="E31" s="17">
        <f>E13+E19</f>
        <v/>
      </c>
      <c r="F31" s="17">
        <f>F13+F19</f>
        <v/>
      </c>
      <c r="G31" s="17">
        <f>G13+G19</f>
        <v/>
      </c>
      <c r="H31" s="17">
        <f>H13+H19</f>
        <v/>
      </c>
      <c r="I31" s="17">
        <f>I13+I19</f>
        <v/>
      </c>
      <c r="J31" s="17">
        <f>J13+J19</f>
        <v/>
      </c>
      <c r="K31" s="17">
        <f>K13+K19</f>
        <v/>
      </c>
    </row>
    <row r="32">
      <c r="A32" s="4" t="inlineStr">
        <is>
          <t xml:space="preserve">  Operating Margin %</t>
        </is>
      </c>
      <c r="B32" s="6">
        <f>B31/B6</f>
        <v/>
      </c>
      <c r="C32" s="6">
        <f>C31/C6</f>
        <v/>
      </c>
      <c r="D32" s="6">
        <f>D31/D6</f>
        <v/>
      </c>
      <c r="E32" s="6">
        <f>E31/E6</f>
        <v/>
      </c>
      <c r="F32" s="6">
        <f>F31/F6</f>
        <v/>
      </c>
      <c r="G32" s="6">
        <f>G31/G6</f>
        <v/>
      </c>
      <c r="H32" s="6">
        <f>H31/H6</f>
        <v/>
      </c>
      <c r="I32" s="6">
        <f>I31/I6</f>
        <v/>
      </c>
      <c r="J32" s="6">
        <f>J31/J6</f>
        <v/>
      </c>
      <c r="K32" s="6">
        <f>K31/K6</f>
        <v/>
      </c>
    </row>
    <row r="34">
      <c r="A34" s="4" t="inlineStr">
        <is>
          <t>Interest Expense</t>
        </is>
      </c>
      <c r="B34" s="5" t="n">
        <v>-69</v>
      </c>
      <c r="C34" s="5" t="n">
        <v>-41</v>
      </c>
      <c r="D34" s="5" t="n">
        <v>-38</v>
      </c>
      <c r="E34" s="5" t="n">
        <v>-36</v>
      </c>
      <c r="F34" s="5" t="n">
        <v>-31</v>
      </c>
      <c r="G34" s="5" t="n">
        <v>-28</v>
      </c>
      <c r="H34" s="5" t="n">
        <v>-25</v>
      </c>
      <c r="I34" s="5" t="n">
        <v>-22</v>
      </c>
      <c r="J34" s="5" t="n">
        <v>-20</v>
      </c>
      <c r="K34" s="5" t="n">
        <v>-18</v>
      </c>
    </row>
    <row r="35">
      <c r="A35" s="4" t="inlineStr">
        <is>
          <t>Interest Income</t>
        </is>
      </c>
      <c r="B35" s="5" t="n">
        <v>11</v>
      </c>
      <c r="C35" s="5" t="n">
        <v>47</v>
      </c>
      <c r="D35" s="5" t="n">
        <v>131</v>
      </c>
      <c r="E35" s="5" t="n">
        <v>242</v>
      </c>
      <c r="F35" s="5" t="n">
        <v>268</v>
      </c>
      <c r="G35" s="5" t="n">
        <v>300</v>
      </c>
      <c r="H35" s="5" t="n">
        <v>320</v>
      </c>
      <c r="I35" s="5" t="n">
        <v>340</v>
      </c>
      <c r="J35" s="5" t="n">
        <v>360</v>
      </c>
      <c r="K35" s="5" t="n">
        <v>380</v>
      </c>
    </row>
    <row r="36">
      <c r="A36" s="4" t="inlineStr">
        <is>
          <t>Other Income / (Loss)</t>
        </is>
      </c>
      <c r="B36" s="5" t="n">
        <v>166</v>
      </c>
      <c r="C36" s="5" t="n">
        <v>211</v>
      </c>
      <c r="D36" s="5" t="n">
        <v>-100</v>
      </c>
      <c r="E36" s="5" t="n">
        <v>-260</v>
      </c>
      <c r="F36" s="5" t="n">
        <v>-111</v>
      </c>
      <c r="G36" s="5" t="n">
        <v>20</v>
      </c>
      <c r="H36" s="5" t="n">
        <v>25</v>
      </c>
      <c r="I36" s="5" t="n">
        <v>30</v>
      </c>
      <c r="J36" s="5" t="n">
        <v>35</v>
      </c>
      <c r="K36" s="5" t="n">
        <v>40</v>
      </c>
    </row>
    <row r="38">
      <c r="A38" s="1" t="inlineStr">
        <is>
          <t>Pre-Tax Income</t>
        </is>
      </c>
      <c r="B38" s="18">
        <f>B31+B34+B35+B36</f>
        <v/>
      </c>
      <c r="C38" s="18">
        <f>C31+C34+C35+C36</f>
        <v/>
      </c>
      <c r="D38" s="18">
        <f>D31+D34+D35+D36</f>
        <v/>
      </c>
      <c r="E38" s="18">
        <f>E31+E34+E35+E36</f>
        <v/>
      </c>
      <c r="F38" s="18">
        <f>F31+F34+F35+F36</f>
        <v/>
      </c>
      <c r="G38" s="18">
        <f>G31+G34+G35+G36</f>
        <v/>
      </c>
      <c r="H38" s="18">
        <f>H31+H34+H35+H36</f>
        <v/>
      </c>
      <c r="I38" s="18">
        <f>I31+I34+I35+I36</f>
        <v/>
      </c>
      <c r="J38" s="18">
        <f>J31+J34+J35+J36</f>
        <v/>
      </c>
      <c r="K38" s="18">
        <f>K31+K34+K35+K36</f>
        <v/>
      </c>
    </row>
    <row r="39">
      <c r="A39" s="4" t="inlineStr">
        <is>
          <t xml:space="preserve">  Pre-Tax Margin %</t>
        </is>
      </c>
      <c r="B39" s="6">
        <f>B38/B6</f>
        <v/>
      </c>
      <c r="C39" s="6">
        <f>C38/C6</f>
        <v/>
      </c>
      <c r="D39" s="6">
        <f>D38/D6</f>
        <v/>
      </c>
      <c r="E39" s="6">
        <f>E38/E6</f>
        <v/>
      </c>
      <c r="F39" s="6">
        <f>F38/F6</f>
        <v/>
      </c>
      <c r="G39" s="6">
        <f>G38/G6</f>
        <v/>
      </c>
      <c r="H39" s="6">
        <f>H38/H6</f>
        <v/>
      </c>
      <c r="I39" s="6">
        <f>I38/I6</f>
        <v/>
      </c>
      <c r="J39" s="6">
        <f>J38/J6</f>
        <v/>
      </c>
      <c r="K39" s="6">
        <f>K38/K6</f>
        <v/>
      </c>
    </row>
    <row r="41">
      <c r="A41" s="4" t="inlineStr">
        <is>
          <t>Income Tax Expense</t>
        </is>
      </c>
      <c r="B41" s="5" t="n">
        <v>-283</v>
      </c>
      <c r="C41" s="5" t="n">
        <v>-60</v>
      </c>
      <c r="D41" s="5" t="n">
        <v>-27</v>
      </c>
      <c r="E41" s="5" t="n">
        <v>-203</v>
      </c>
      <c r="F41" s="5" t="n">
        <v>-12</v>
      </c>
      <c r="G41" s="11">
        <f>-MAX(G38,0)*G42</f>
        <v/>
      </c>
      <c r="H41" s="11">
        <f>-MAX(H38,0)*H42</f>
        <v/>
      </c>
      <c r="I41" s="11">
        <f>-MAX(I38,0)*I42</f>
        <v/>
      </c>
      <c r="J41" s="11">
        <f>-MAX(J38,0)*J42</f>
        <v/>
      </c>
      <c r="K41" s="11">
        <f>-MAX(K38,0)*K42</f>
        <v/>
      </c>
    </row>
    <row r="42">
      <c r="A42" s="4" t="inlineStr">
        <is>
          <t xml:space="preserve">  Effective Tax Rate</t>
        </is>
      </c>
      <c r="B42" s="6">
        <f>IF(B38&gt;0,-B41/B38,0)</f>
        <v/>
      </c>
      <c r="C42" s="6">
        <f>IF(C38&gt;0,-C41/C38,0)</f>
        <v/>
      </c>
      <c r="D42" s="6">
        <f>IF(D38&gt;0,-D41/D38,0)</f>
        <v/>
      </c>
      <c r="E42" s="6">
        <f>IF(E38&gt;0,-E41/E38,0)</f>
        <v/>
      </c>
      <c r="F42" s="6">
        <f>IF(F38&gt;0,-F41/F38,0)</f>
        <v/>
      </c>
      <c r="G42" s="14" t="n">
        <v>0.12</v>
      </c>
      <c r="H42" s="14" t="n">
        <v>0.14</v>
      </c>
      <c r="I42" s="14" t="n">
        <v>0.15</v>
      </c>
      <c r="J42" s="14" t="n">
        <v>0.16</v>
      </c>
      <c r="K42" s="14" t="n">
        <v>0.17</v>
      </c>
    </row>
    <row r="44">
      <c r="A44" s="1" t="inlineStr">
        <is>
          <t>NET INCOME</t>
        </is>
      </c>
      <c r="B44" s="19">
        <f>B38+B41</f>
        <v/>
      </c>
      <c r="C44" s="19">
        <f>C38+C41</f>
        <v/>
      </c>
      <c r="D44" s="19">
        <f>D38+D41</f>
        <v/>
      </c>
      <c r="E44" s="19">
        <f>E38+E41</f>
        <v/>
      </c>
      <c r="F44" s="19">
        <f>F38+F41</f>
        <v/>
      </c>
      <c r="G44" s="19">
        <f>G38+G41</f>
        <v/>
      </c>
      <c r="H44" s="19">
        <f>H38+H41</f>
        <v/>
      </c>
      <c r="I44" s="19">
        <f>I38+I41</f>
        <v/>
      </c>
      <c r="J44" s="19">
        <f>J38+J41</f>
        <v/>
      </c>
      <c r="K44" s="19">
        <f>K38+K41</f>
        <v/>
      </c>
    </row>
    <row r="45">
      <c r="A45" s="4" t="inlineStr">
        <is>
          <t xml:space="preserve">  Net Margin %</t>
        </is>
      </c>
      <c r="B45" s="6">
        <f>B44/B6</f>
        <v/>
      </c>
      <c r="C45" s="6">
        <f>C44/C6</f>
        <v/>
      </c>
      <c r="D45" s="6">
        <f>D44/D6</f>
        <v/>
      </c>
      <c r="E45" s="6">
        <f>E44/E6</f>
        <v/>
      </c>
      <c r="F45" s="6">
        <f>F44/F6</f>
        <v/>
      </c>
      <c r="G45" s="6">
        <f>G44/G6</f>
        <v/>
      </c>
      <c r="H45" s="6">
        <f>H44/H6</f>
        <v/>
      </c>
      <c r="I45" s="6">
        <f>I44/I6</f>
        <v/>
      </c>
      <c r="J45" s="6">
        <f>J44/J6</f>
        <v/>
      </c>
      <c r="K45" s="6">
        <f>K44/K6</f>
        <v/>
      </c>
    </row>
    <row r="47">
      <c r="A47" s="4" t="inlineStr">
        <is>
          <t>Shares Outstanding - Basic (M)</t>
        </is>
      </c>
      <c r="B47" s="5" t="n">
        <v>191</v>
      </c>
      <c r="C47" s="5" t="n">
        <v>193</v>
      </c>
      <c r="D47" s="5" t="n">
        <v>195</v>
      </c>
      <c r="E47" s="5" t="n">
        <v>201</v>
      </c>
      <c r="F47" s="5" t="n">
        <v>205</v>
      </c>
      <c r="G47" s="5" t="n">
        <v>208</v>
      </c>
      <c r="H47" s="5" t="n">
        <v>210</v>
      </c>
      <c r="I47" s="5" t="n">
        <v>212</v>
      </c>
      <c r="J47" s="5" t="n">
        <v>214</v>
      </c>
      <c r="K47" s="5" t="n">
        <v>216</v>
      </c>
    </row>
    <row r="48">
      <c r="A48" s="4" t="inlineStr">
        <is>
          <t>Shares Outstanding - Diluted (M)</t>
        </is>
      </c>
      <c r="B48" s="5" t="n">
        <v>194</v>
      </c>
      <c r="C48" s="5" t="n">
        <v>196</v>
      </c>
      <c r="D48" s="5" t="n">
        <v>195</v>
      </c>
      <c r="E48" s="5" t="n">
        <v>207</v>
      </c>
      <c r="F48" s="5" t="n">
        <v>211</v>
      </c>
      <c r="G48" s="5" t="n">
        <v>214</v>
      </c>
      <c r="H48" s="5" t="n">
        <v>216</v>
      </c>
      <c r="I48" s="5" t="n">
        <v>218</v>
      </c>
      <c r="J48" s="5" t="n">
        <v>220</v>
      </c>
      <c r="K48" s="5" t="n">
        <v>222</v>
      </c>
    </row>
    <row r="50">
      <c r="A50" s="4" t="inlineStr">
        <is>
          <t>EPS - Basic (EUR)</t>
        </is>
      </c>
      <c r="B50" s="9">
        <f>B44/B47</f>
        <v/>
      </c>
      <c r="C50" s="9">
        <f>C44/C47</f>
        <v/>
      </c>
      <c r="D50" s="9">
        <f>D44/D47</f>
        <v/>
      </c>
      <c r="E50" s="9">
        <f>E44/E47</f>
        <v/>
      </c>
      <c r="F50" s="9">
        <f>F44/F47</f>
        <v/>
      </c>
      <c r="G50" s="9">
        <f>G44/G47</f>
        <v/>
      </c>
      <c r="H50" s="9">
        <f>H44/H47</f>
        <v/>
      </c>
      <c r="I50" s="9">
        <f>I44/I47</f>
        <v/>
      </c>
      <c r="J50" s="9">
        <f>J44/J47</f>
        <v/>
      </c>
      <c r="K50" s="9">
        <f>K44/K47</f>
        <v/>
      </c>
    </row>
    <row r="51">
      <c r="A51" s="4" t="inlineStr">
        <is>
          <t>EPS - Diluted (EUR)</t>
        </is>
      </c>
      <c r="B51" s="9">
        <f>B44/B48</f>
        <v/>
      </c>
      <c r="C51" s="9">
        <f>C44/C48</f>
        <v/>
      </c>
      <c r="D51" s="9">
        <f>D44/D48</f>
        <v/>
      </c>
      <c r="E51" s="9">
        <f>E44/E48</f>
        <v/>
      </c>
      <c r="F51" s="9">
        <f>F44/F48</f>
        <v/>
      </c>
      <c r="G51" s="9">
        <f>G44/G48</f>
        <v/>
      </c>
      <c r="H51" s="9">
        <f>H44/H48</f>
        <v/>
      </c>
      <c r="I51" s="9">
        <f>I44/I48</f>
        <v/>
      </c>
      <c r="J51" s="9">
        <f>J44/J48</f>
        <v/>
      </c>
      <c r="K51" s="9">
        <f>K44/K48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SPOTIFY TECHNOLOGY S.A. — CASH FLOW STATEMENT</t>
        </is>
      </c>
    </row>
    <row r="2">
      <c r="A2" s="2" t="inlineStr">
        <is>
          <t>(EUR millions)</t>
        </is>
      </c>
    </row>
    <row r="4">
      <c r="A4" s="3" t="inlineStr"/>
      <c r="B4" s="3" t="inlineStr">
        <is>
          <t>2021A</t>
        </is>
      </c>
      <c r="C4" s="3" t="inlineStr">
        <is>
          <t>2022A</t>
        </is>
      </c>
      <c r="D4" s="3" t="inlineStr">
        <is>
          <t>2023A</t>
        </is>
      </c>
      <c r="E4" s="3" t="inlineStr">
        <is>
          <t>2024A</t>
        </is>
      </c>
      <c r="F4" s="3" t="inlineStr">
        <is>
          <t>2025A</t>
        </is>
      </c>
      <c r="G4" s="3" t="inlineStr">
        <is>
          <t>2026E</t>
        </is>
      </c>
      <c r="H4" s="3" t="inlineStr">
        <is>
          <t>2027E</t>
        </is>
      </c>
      <c r="I4" s="3" t="inlineStr">
        <is>
          <t>2028E</t>
        </is>
      </c>
      <c r="J4" s="3" t="inlineStr">
        <is>
          <t>2029E</t>
        </is>
      </c>
      <c r="K4" s="3" t="inlineStr">
        <is>
          <t>2030E</t>
        </is>
      </c>
    </row>
    <row r="6">
      <c r="A6" s="1" t="inlineStr">
        <is>
          <t>CASH FROM OPERATIONS</t>
        </is>
      </c>
    </row>
    <row r="7">
      <c r="A7" s="4" t="inlineStr">
        <is>
          <t xml:space="preserve">  Net Income</t>
        </is>
      </c>
      <c r="B7" s="16">
        <f>'Income Statement'!B44</f>
        <v/>
      </c>
      <c r="C7" s="16">
        <f>'Income Statement'!C44</f>
        <v/>
      </c>
      <c r="D7" s="16">
        <f>'Income Statement'!D44</f>
        <v/>
      </c>
      <c r="E7" s="16">
        <f>'Income Statement'!E44</f>
        <v/>
      </c>
      <c r="F7" s="16">
        <f>'Income Statement'!F44</f>
        <v/>
      </c>
      <c r="G7" s="16">
        <f>'Income Statement'!G44</f>
        <v/>
      </c>
      <c r="H7" s="16">
        <f>'Income Statement'!H44</f>
        <v/>
      </c>
      <c r="I7" s="16">
        <f>'Income Statement'!I44</f>
        <v/>
      </c>
      <c r="J7" s="16">
        <f>'Income Statement'!J44</f>
        <v/>
      </c>
      <c r="K7" s="16">
        <f>'Income Statement'!K44</f>
        <v/>
      </c>
    </row>
    <row r="8">
      <c r="A8" s="4" t="inlineStr">
        <is>
          <t xml:space="preserve">  Depreciation &amp; Amortization</t>
        </is>
      </c>
      <c r="B8" s="16">
        <f>'Income Statement'!B28</f>
        <v/>
      </c>
      <c r="C8" s="16">
        <f>'Income Statement'!C28</f>
        <v/>
      </c>
      <c r="D8" s="16">
        <f>'Income Statement'!D28</f>
        <v/>
      </c>
      <c r="E8" s="16">
        <f>'Income Statement'!E28</f>
        <v/>
      </c>
      <c r="F8" s="16">
        <f>'Income Statement'!F28</f>
        <v/>
      </c>
      <c r="G8" s="16">
        <f>'Income Statement'!G28</f>
        <v/>
      </c>
      <c r="H8" s="16">
        <f>'Income Statement'!H28</f>
        <v/>
      </c>
      <c r="I8" s="16">
        <f>'Income Statement'!I28</f>
        <v/>
      </c>
      <c r="J8" s="16">
        <f>'Income Statement'!J28</f>
        <v/>
      </c>
      <c r="K8" s="16">
        <f>'Income Statement'!K28</f>
        <v/>
      </c>
    </row>
    <row r="9">
      <c r="A9" s="4" t="inlineStr">
        <is>
          <t xml:space="preserve">  Stock-Based Compensation</t>
        </is>
      </c>
      <c r="B9" s="16">
        <f>'Income Statement'!B29</f>
        <v/>
      </c>
      <c r="C9" s="16">
        <f>'Income Statement'!C29</f>
        <v/>
      </c>
      <c r="D9" s="16">
        <f>'Income Statement'!D29</f>
        <v/>
      </c>
      <c r="E9" s="16">
        <f>'Income Statement'!E29</f>
        <v/>
      </c>
      <c r="F9" s="16">
        <f>'Income Statement'!F29</f>
        <v/>
      </c>
      <c r="G9" s="16">
        <f>'Income Statement'!G29</f>
        <v/>
      </c>
      <c r="H9" s="16">
        <f>'Income Statement'!H29</f>
        <v/>
      </c>
      <c r="I9" s="16">
        <f>'Income Statement'!I29</f>
        <v/>
      </c>
      <c r="J9" s="16">
        <f>'Income Statement'!J29</f>
        <v/>
      </c>
      <c r="K9" s="16">
        <f>'Income Statement'!K29</f>
        <v/>
      </c>
    </row>
    <row r="10">
      <c r="A10" s="4" t="inlineStr">
        <is>
          <t xml:space="preserve">  Other Non-Cash Items</t>
        </is>
      </c>
      <c r="B10" s="5" t="n">
        <v>63</v>
      </c>
      <c r="C10" s="5" t="n">
        <v>-267</v>
      </c>
      <c r="D10" s="5" t="n">
        <v>117</v>
      </c>
      <c r="E10" s="5" t="n">
        <v>356</v>
      </c>
      <c r="F10" s="5" t="n">
        <v>116</v>
      </c>
      <c r="G10" s="5" t="n">
        <v>50</v>
      </c>
      <c r="H10" s="5" t="n">
        <v>50</v>
      </c>
      <c r="I10" s="5" t="n">
        <v>50</v>
      </c>
      <c r="J10" s="5" t="n">
        <v>50</v>
      </c>
      <c r="K10" s="5" t="n">
        <v>50</v>
      </c>
    </row>
    <row r="12">
      <c r="A12" s="1" t="inlineStr">
        <is>
          <t>Changes in Working Capital:</t>
        </is>
      </c>
    </row>
    <row r="13">
      <c r="A13" s="4" t="inlineStr">
        <is>
          <t xml:space="preserve">    Accounts Receivable</t>
        </is>
      </c>
      <c r="B13" s="5" t="n">
        <v>-245</v>
      </c>
      <c r="C13" s="5" t="n">
        <v>-84</v>
      </c>
      <c r="D13" s="5" t="n">
        <v>-145</v>
      </c>
      <c r="E13" s="5" t="n">
        <v>145</v>
      </c>
      <c r="F13" s="5" t="n">
        <v>-115</v>
      </c>
      <c r="G13" s="11">
        <f>('Revenue Model'!G23-'Revenue Model'!F23)*-0.03</f>
        <v/>
      </c>
      <c r="H13" s="11">
        <f>('Revenue Model'!H23-'Revenue Model'!G23)*-0.03</f>
        <v/>
      </c>
      <c r="I13" s="11">
        <f>('Revenue Model'!I23-'Revenue Model'!H23)*-0.03</f>
        <v/>
      </c>
      <c r="J13" s="11">
        <f>('Revenue Model'!J23-'Revenue Model'!I23)*-0.03</f>
        <v/>
      </c>
      <c r="K13" s="11">
        <f>('Revenue Model'!K23-'Revenue Model'!J23)*-0.03</f>
        <v/>
      </c>
    </row>
    <row r="14">
      <c r="A14" s="4" t="inlineStr">
        <is>
          <t xml:space="preserve">    Accounts Payable</t>
        </is>
      </c>
      <c r="B14" s="5" t="n">
        <v>137</v>
      </c>
      <c r="C14" s="5" t="n">
        <v>226</v>
      </c>
      <c r="D14" s="5" t="n">
        <v>501</v>
      </c>
      <c r="E14" s="5" t="n">
        <v>183</v>
      </c>
      <c r="F14" s="5" t="n">
        <v>281</v>
      </c>
      <c r="G14" s="11">
        <f>('Revenue Model'!G23-'Revenue Model'!F23)*0.04</f>
        <v/>
      </c>
      <c r="H14" s="11">
        <f>('Revenue Model'!H23-'Revenue Model'!G23)*0.04</f>
        <v/>
      </c>
      <c r="I14" s="11">
        <f>('Revenue Model'!I23-'Revenue Model'!H23)*0.04</f>
        <v/>
      </c>
      <c r="J14" s="11">
        <f>('Revenue Model'!J23-'Revenue Model'!I23)*0.04</f>
        <v/>
      </c>
      <c r="K14" s="11">
        <f>('Revenue Model'!K23-'Revenue Model'!J23)*0.04</f>
        <v/>
      </c>
    </row>
    <row r="15">
      <c r="A15" s="4" t="inlineStr">
        <is>
          <t xml:space="preserve">    Deferred Revenue</t>
        </is>
      </c>
      <c r="B15" s="5" t="n">
        <v>67</v>
      </c>
      <c r="C15" s="5" t="n">
        <v>52</v>
      </c>
      <c r="D15" s="5" t="n">
        <v>113</v>
      </c>
      <c r="E15" s="5" t="n">
        <v>45</v>
      </c>
      <c r="F15" s="5" t="n">
        <v>60</v>
      </c>
      <c r="G15" s="11">
        <f>('Revenue Model'!G23-'Revenue Model'!F23)*0.02</f>
        <v/>
      </c>
      <c r="H15" s="11">
        <f>('Revenue Model'!H23-'Revenue Model'!G23)*0.02</f>
        <v/>
      </c>
      <c r="I15" s="11">
        <f>('Revenue Model'!I23-'Revenue Model'!H23)*0.02</f>
        <v/>
      </c>
      <c r="J15" s="11">
        <f>('Revenue Model'!J23-'Revenue Model'!I23)*0.02</f>
        <v/>
      </c>
      <c r="K15" s="11">
        <f>('Revenue Model'!K23-'Revenue Model'!J23)*0.02</f>
        <v/>
      </c>
    </row>
    <row r="17">
      <c r="A17" s="1" t="inlineStr">
        <is>
          <t>Cash from Operations (CFO)</t>
        </is>
      </c>
      <c r="B17" s="17">
        <f>B7+B8+B9+B10+B13+B14+B15</f>
        <v/>
      </c>
      <c r="C17" s="17">
        <f>C7+C8+C9+C10+C13+C14+C15</f>
        <v/>
      </c>
      <c r="D17" s="17">
        <f>D7+D8+D9+D10+D13+D14+D15</f>
        <v/>
      </c>
      <c r="E17" s="17">
        <f>E7+E8+E9+E10+E13+E14+E15</f>
        <v/>
      </c>
      <c r="F17" s="17">
        <f>F7+F8+F9+F10+F13+F14+F15</f>
        <v/>
      </c>
      <c r="G17" s="17">
        <f>G7+G8+G9+G10+G13+G14+G15</f>
        <v/>
      </c>
      <c r="H17" s="17">
        <f>H7+H8+H9+H10+H13+H14+H15</f>
        <v/>
      </c>
      <c r="I17" s="17">
        <f>I7+I8+I9+I10+I13+I14+I15</f>
        <v/>
      </c>
      <c r="J17" s="17">
        <f>J7+J8+J9+J10+J13+J14+J15</f>
        <v/>
      </c>
      <c r="K17" s="17">
        <f>K7+K8+K9+K10+K13+K14+K15</f>
        <v/>
      </c>
    </row>
    <row r="19">
      <c r="A19" s="1" t="inlineStr">
        <is>
          <t>CASH FROM INVESTING</t>
        </is>
      </c>
    </row>
    <row r="20">
      <c r="A20" s="4" t="inlineStr">
        <is>
          <t xml:space="preserve">  Capital Expenditures</t>
        </is>
      </c>
      <c r="B20" s="5" t="n">
        <v>-85</v>
      </c>
      <c r="C20" s="5" t="n">
        <v>-25</v>
      </c>
      <c r="D20" s="5" t="n">
        <v>-6</v>
      </c>
      <c r="E20" s="5" t="n">
        <v>-17</v>
      </c>
      <c r="F20" s="5" t="n">
        <v>-61</v>
      </c>
      <c r="G20" s="5" t="n">
        <v>-70</v>
      </c>
      <c r="H20" s="5" t="n">
        <v>-80</v>
      </c>
      <c r="I20" s="5" t="n">
        <v>-90</v>
      </c>
      <c r="J20" s="5" t="n">
        <v>-100</v>
      </c>
      <c r="K20" s="5" t="n">
        <v>-110</v>
      </c>
    </row>
    <row r="21">
      <c r="A21" s="4" t="inlineStr">
        <is>
          <t xml:space="preserve">  Acquisitions</t>
        </is>
      </c>
      <c r="B21" s="5" t="n">
        <v>-115</v>
      </c>
      <c r="C21" s="5" t="n">
        <v>-306</v>
      </c>
      <c r="D21" s="5" t="n">
        <v>-7</v>
      </c>
      <c r="E21" s="5" t="n">
        <v>-10</v>
      </c>
      <c r="F21" s="5" t="n">
        <v>-18</v>
      </c>
      <c r="G21" s="5" t="n">
        <v>-20</v>
      </c>
      <c r="H21" s="5" t="n">
        <v>-25</v>
      </c>
      <c r="I21" s="5" t="n">
        <v>-30</v>
      </c>
      <c r="J21" s="5" t="n">
        <v>-35</v>
      </c>
      <c r="K21" s="5" t="n">
        <v>-40</v>
      </c>
    </row>
    <row r="22">
      <c r="A22" s="4" t="inlineStr">
        <is>
          <t xml:space="preserve">  Securities / Other Investing</t>
        </is>
      </c>
      <c r="B22" s="5" t="n">
        <v>22</v>
      </c>
      <c r="C22" s="5" t="n">
        <v>-89</v>
      </c>
      <c r="D22" s="5" t="n">
        <v>-211</v>
      </c>
      <c r="E22" s="5" t="n">
        <v>-1471</v>
      </c>
      <c r="F22" s="5" t="n">
        <v>-1726</v>
      </c>
      <c r="G22" s="5" t="n">
        <v>-500</v>
      </c>
      <c r="H22" s="5" t="n">
        <v>-400</v>
      </c>
      <c r="I22" s="5" t="n">
        <v>-300</v>
      </c>
      <c r="J22" s="5" t="n">
        <v>-200</v>
      </c>
      <c r="K22" s="5" t="n">
        <v>-100</v>
      </c>
    </row>
    <row r="24">
      <c r="A24" s="1" t="inlineStr">
        <is>
          <t>Cash from Investing (CFI)</t>
        </is>
      </c>
      <c r="B24" s="17">
        <f>B20+B21+B22</f>
        <v/>
      </c>
      <c r="C24" s="17">
        <f>C20+C21+C22</f>
        <v/>
      </c>
      <c r="D24" s="17">
        <f>D20+D21+D22</f>
        <v/>
      </c>
      <c r="E24" s="17">
        <f>E20+E21+E22</f>
        <v/>
      </c>
      <c r="F24" s="17">
        <f>F20+F21+F22</f>
        <v/>
      </c>
      <c r="G24" s="17">
        <f>G20+G21+G22</f>
        <v/>
      </c>
      <c r="H24" s="17">
        <f>H20+H21+H22</f>
        <v/>
      </c>
      <c r="I24" s="17">
        <f>I20+I21+I22</f>
        <v/>
      </c>
      <c r="J24" s="17">
        <f>J20+J21+J22</f>
        <v/>
      </c>
      <c r="K24" s="17">
        <f>K20+K21+K22</f>
        <v/>
      </c>
    </row>
    <row r="26">
      <c r="A26" s="1" t="inlineStr">
        <is>
          <t>FREE CASH FLOW (CFO - CapEx)</t>
        </is>
      </c>
      <c r="B26" s="19">
        <f>B17+B20</f>
        <v/>
      </c>
      <c r="C26" s="19">
        <f>C17+C20</f>
        <v/>
      </c>
      <c r="D26" s="19">
        <f>D17+D20</f>
        <v/>
      </c>
      <c r="E26" s="19">
        <f>E17+E20</f>
        <v/>
      </c>
      <c r="F26" s="19">
        <f>F17+F20</f>
        <v/>
      </c>
      <c r="G26" s="19">
        <f>G17+G20</f>
        <v/>
      </c>
      <c r="H26" s="19">
        <f>H17+H20</f>
        <v/>
      </c>
      <c r="I26" s="19">
        <f>I17+I20</f>
        <v/>
      </c>
      <c r="J26" s="19">
        <f>J17+J20</f>
        <v/>
      </c>
      <c r="K26" s="19">
        <f>K17+K20</f>
        <v/>
      </c>
    </row>
    <row r="27">
      <c r="A27" s="4" t="inlineStr">
        <is>
          <t xml:space="preserve">  FCF Margin %</t>
        </is>
      </c>
      <c r="B27" s="6">
        <f>B26/'Revenue Model'!B23</f>
        <v/>
      </c>
      <c r="C27" s="6">
        <f>C26/'Revenue Model'!C23</f>
        <v/>
      </c>
      <c r="D27" s="6">
        <f>D26/'Revenue Model'!D23</f>
        <v/>
      </c>
      <c r="E27" s="6">
        <f>E26/'Revenue Model'!E23</f>
        <v/>
      </c>
      <c r="F27" s="6">
        <f>F26/'Revenue Model'!F23</f>
        <v/>
      </c>
      <c r="G27" s="6">
        <f>G26/'Revenue Model'!G23</f>
        <v/>
      </c>
      <c r="H27" s="6">
        <f>H26/'Revenue Model'!H23</f>
        <v/>
      </c>
      <c r="I27" s="6">
        <f>I26/'Revenue Model'!I23</f>
        <v/>
      </c>
      <c r="J27" s="6">
        <f>J26/'Revenue Model'!J23</f>
        <v/>
      </c>
      <c r="K27" s="6">
        <f>K26/'Revenue Model'!K23</f>
        <v/>
      </c>
    </row>
    <row r="29">
      <c r="A29" s="1" t="inlineStr">
        <is>
          <t>CASH FROM FINANCING</t>
        </is>
      </c>
    </row>
    <row r="30">
      <c r="A30" s="4" t="inlineStr">
        <is>
          <t xml:space="preserve">  Debt Repayment</t>
        </is>
      </c>
      <c r="B30" s="5" t="n">
        <v>-35</v>
      </c>
      <c r="C30" s="5" t="n">
        <v>-43</v>
      </c>
      <c r="D30" s="5" t="n">
        <v>-66</v>
      </c>
      <c r="E30" s="5" t="n">
        <v>-69</v>
      </c>
      <c r="F30" s="5" t="n">
        <v>-73</v>
      </c>
      <c r="G30" s="5" t="n">
        <v>-75</v>
      </c>
      <c r="H30" s="5" t="n">
        <v>-75</v>
      </c>
      <c r="I30" s="5" t="n">
        <v>-75</v>
      </c>
      <c r="J30" s="5" t="n">
        <v>-75</v>
      </c>
      <c r="K30" s="5" t="n">
        <v>-75</v>
      </c>
    </row>
    <row r="31">
      <c r="A31" s="4" t="inlineStr">
        <is>
          <t xml:space="preserve">  Stock Issuance (Options/RSUs)</t>
        </is>
      </c>
      <c r="B31" s="5" t="n">
        <v>167</v>
      </c>
      <c r="C31" s="5" t="n">
        <v>43</v>
      </c>
      <c r="D31" s="5" t="n">
        <v>366</v>
      </c>
      <c r="E31" s="5" t="n">
        <v>933</v>
      </c>
      <c r="F31" s="5" t="n">
        <v>372</v>
      </c>
      <c r="G31" s="5" t="n">
        <v>100</v>
      </c>
      <c r="H31" s="5" t="n">
        <v>80</v>
      </c>
      <c r="I31" s="5" t="n">
        <v>60</v>
      </c>
      <c r="J31" s="5" t="n">
        <v>40</v>
      </c>
      <c r="K31" s="5" t="n">
        <v>20</v>
      </c>
    </row>
    <row r="32">
      <c r="A32" s="4" t="inlineStr">
        <is>
          <t xml:space="preserve">  Share Repurchases</t>
        </is>
      </c>
      <c r="B32" s="5" t="n">
        <v>-143</v>
      </c>
      <c r="C32" s="5" t="n">
        <v>-42</v>
      </c>
      <c r="D32" s="5" t="n">
        <v>-68</v>
      </c>
      <c r="E32" s="5" t="n">
        <v>-135</v>
      </c>
      <c r="F32" s="5" t="n">
        <v>-680</v>
      </c>
      <c r="G32" s="5" t="n">
        <v>-800</v>
      </c>
      <c r="H32" s="5" t="n">
        <v>-900</v>
      </c>
      <c r="I32" s="5" t="n">
        <v>-1000</v>
      </c>
      <c r="J32" s="5" t="n">
        <v>-1100</v>
      </c>
      <c r="K32" s="5" t="n">
        <v>-1200</v>
      </c>
    </row>
    <row r="33">
      <c r="A33" s="4" t="inlineStr">
        <is>
          <t xml:space="preserve">  Other Financing</t>
        </is>
      </c>
      <c r="B33" s="5" t="n">
        <v>1261</v>
      </c>
      <c r="C33" s="5" t="n">
        <v>-2</v>
      </c>
      <c r="D33" s="5" t="n">
        <v>2</v>
      </c>
      <c r="E33" s="5" t="n">
        <v>0</v>
      </c>
      <c r="F33" s="5" t="n">
        <v>0</v>
      </c>
      <c r="G33" s="5" t="n">
        <v>0</v>
      </c>
      <c r="H33" s="5" t="n">
        <v>0</v>
      </c>
      <c r="I33" s="5" t="n">
        <v>0</v>
      </c>
      <c r="J33" s="5" t="n">
        <v>0</v>
      </c>
      <c r="K33" s="5" t="n">
        <v>0</v>
      </c>
    </row>
    <row r="35">
      <c r="A35" s="1" t="inlineStr">
        <is>
          <t>Cash from Financing (CFF)</t>
        </is>
      </c>
      <c r="B35" s="17">
        <f>B30+B31+B32+B33</f>
        <v/>
      </c>
      <c r="C35" s="17">
        <f>C30+C31+C32+C33</f>
        <v/>
      </c>
      <c r="D35" s="17">
        <f>D30+D31+D32+D33</f>
        <v/>
      </c>
      <c r="E35" s="17">
        <f>E30+E31+E32+E33</f>
        <v/>
      </c>
      <c r="F35" s="17">
        <f>F30+F31+F32+F33</f>
        <v/>
      </c>
      <c r="G35" s="17">
        <f>G30+G31+G32+G33</f>
        <v/>
      </c>
      <c r="H35" s="17">
        <f>H30+H31+H32+H33</f>
        <v/>
      </c>
      <c r="I35" s="17">
        <f>I30+I31+I32+I33</f>
        <v/>
      </c>
      <c r="J35" s="17">
        <f>J30+J31+J32+J33</f>
        <v/>
      </c>
      <c r="K35" s="17">
        <f>K30+K31+K32+K33</f>
        <v/>
      </c>
    </row>
    <row r="37">
      <c r="A37" s="1" t="inlineStr">
        <is>
          <t>Net Change in Cash</t>
        </is>
      </c>
      <c r="B37" s="18">
        <f>B17+B24+B35</f>
        <v/>
      </c>
      <c r="C37" s="18">
        <f>C17+C24+C35</f>
        <v/>
      </c>
      <c r="D37" s="18">
        <f>D17+D24+D35</f>
        <v/>
      </c>
      <c r="E37" s="18">
        <f>E17+E24+E35</f>
        <v/>
      </c>
      <c r="F37" s="18">
        <f>F17+F24+F35</f>
        <v/>
      </c>
      <c r="G37" s="18">
        <f>G17+G24+G35</f>
        <v/>
      </c>
      <c r="H37" s="18">
        <f>H17+H24+H35</f>
        <v/>
      </c>
      <c r="I37" s="18">
        <f>I17+I24+I35</f>
        <v/>
      </c>
      <c r="J37" s="18">
        <f>J17+J24+J35</f>
        <v/>
      </c>
      <c r="K37" s="18">
        <f>K17+K24+K35</f>
        <v/>
      </c>
    </row>
    <row r="39">
      <c r="A39" s="4" t="inlineStr">
        <is>
          <t>Beginning Cash &amp; Equivalents</t>
        </is>
      </c>
      <c r="B39" s="5" t="n">
        <v>1151</v>
      </c>
      <c r="C39" s="5" t="n">
        <v>2744</v>
      </c>
      <c r="D39" s="5" t="n">
        <v>2483</v>
      </c>
      <c r="E39" s="5" t="n">
        <v>3114</v>
      </c>
      <c r="F39" s="5" t="n">
        <v>4781</v>
      </c>
      <c r="G39" s="11">
        <f>F40</f>
        <v/>
      </c>
      <c r="H39" s="11">
        <f>G40</f>
        <v/>
      </c>
      <c r="I39" s="11">
        <f>H40</f>
        <v/>
      </c>
      <c r="J39" s="11">
        <f>I40</f>
        <v/>
      </c>
      <c r="K39" s="11">
        <f>J40</f>
        <v/>
      </c>
    </row>
    <row r="40">
      <c r="A40" s="1" t="inlineStr">
        <is>
          <t>Ending Cash &amp; Equivalents</t>
        </is>
      </c>
      <c r="B40" s="19">
        <f>B39+B37</f>
        <v/>
      </c>
      <c r="C40" s="19">
        <f>C39+C37</f>
        <v/>
      </c>
      <c r="D40" s="19">
        <f>D39+D37</f>
        <v/>
      </c>
      <c r="E40" s="19">
        <f>E39+E37</f>
        <v/>
      </c>
      <c r="F40" s="19">
        <f>F39+F37</f>
        <v/>
      </c>
      <c r="G40" s="19">
        <f>G39+G37</f>
        <v/>
      </c>
      <c r="H40" s="19">
        <f>H39+H37</f>
        <v/>
      </c>
      <c r="I40" s="19">
        <f>I39+I37</f>
        <v/>
      </c>
      <c r="J40" s="19">
        <f>J39+J37</f>
        <v/>
      </c>
      <c r="K40" s="19">
        <f>K39+K37</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SPOTIFY TECHNOLOGY S.A. — BALANCE SHEET</t>
        </is>
      </c>
    </row>
    <row r="2">
      <c r="A2" s="2" t="inlineStr">
        <is>
          <t>(EUR millions)</t>
        </is>
      </c>
    </row>
    <row r="4">
      <c r="A4" s="3" t="inlineStr"/>
      <c r="B4" s="3" t="inlineStr">
        <is>
          <t>2021A</t>
        </is>
      </c>
      <c r="C4" s="3" t="inlineStr">
        <is>
          <t>2022A</t>
        </is>
      </c>
      <c r="D4" s="3" t="inlineStr">
        <is>
          <t>2023A</t>
        </is>
      </c>
      <c r="E4" s="3" t="inlineStr">
        <is>
          <t>2024A</t>
        </is>
      </c>
      <c r="F4" s="3" t="inlineStr">
        <is>
          <t>2025A</t>
        </is>
      </c>
      <c r="G4" s="3" t="inlineStr">
        <is>
          <t>2026E</t>
        </is>
      </c>
      <c r="H4" s="3" t="inlineStr">
        <is>
          <t>2027E</t>
        </is>
      </c>
      <c r="I4" s="3" t="inlineStr">
        <is>
          <t>2028E</t>
        </is>
      </c>
      <c r="J4" s="3" t="inlineStr">
        <is>
          <t>2029E</t>
        </is>
      </c>
      <c r="K4" s="3" t="inlineStr">
        <is>
          <t>2030E</t>
        </is>
      </c>
    </row>
    <row r="6">
      <c r="A6" s="1" t="inlineStr">
        <is>
          <t>CURRENT ASSETS</t>
        </is>
      </c>
    </row>
    <row r="7">
      <c r="A7" s="4" t="inlineStr">
        <is>
          <t xml:space="preserve">  Cash &amp; Equivalents</t>
        </is>
      </c>
      <c r="B7" s="5" t="n">
        <v>2744</v>
      </c>
      <c r="C7" s="5" t="n">
        <v>2483</v>
      </c>
      <c r="D7" s="5" t="n">
        <v>3114</v>
      </c>
      <c r="E7" s="5" t="n">
        <v>4781</v>
      </c>
      <c r="F7" s="5" t="n">
        <v>5258</v>
      </c>
      <c r="G7" s="16">
        <f>'Cash Flow'!G40</f>
        <v/>
      </c>
      <c r="H7" s="16">
        <f>'Cash Flow'!H40</f>
        <v/>
      </c>
      <c r="I7" s="16">
        <f>'Cash Flow'!I40</f>
        <v/>
      </c>
      <c r="J7" s="16">
        <f>'Cash Flow'!J40</f>
        <v/>
      </c>
      <c r="K7" s="16">
        <f>'Cash Flow'!K40</f>
        <v/>
      </c>
    </row>
    <row r="8">
      <c r="A8" s="4" t="inlineStr">
        <is>
          <t xml:space="preserve">  Short-Term Investments</t>
        </is>
      </c>
      <c r="B8" s="5" t="n">
        <v>689</v>
      </c>
      <c r="C8" s="5" t="n">
        <v>867</v>
      </c>
      <c r="D8" s="5" t="n">
        <v>859</v>
      </c>
      <c r="E8" s="5" t="n">
        <v>1972</v>
      </c>
      <c r="F8" s="5" t="n">
        <v>2458</v>
      </c>
      <c r="G8" s="5" t="n">
        <v>2800</v>
      </c>
      <c r="H8" s="5" t="n">
        <v>3200</v>
      </c>
      <c r="I8" s="5" t="n">
        <v>3600</v>
      </c>
      <c r="J8" s="5" t="n">
        <v>4000</v>
      </c>
      <c r="K8" s="5" t="n">
        <v>4400</v>
      </c>
    </row>
    <row r="9">
      <c r="A9" s="4" t="inlineStr">
        <is>
          <t xml:space="preserve">  Accounts Receivable</t>
        </is>
      </c>
      <c r="B9" s="5" t="n">
        <v>437</v>
      </c>
      <c r="C9" s="5" t="n">
        <v>502</v>
      </c>
      <c r="D9" s="5" t="n">
        <v>602</v>
      </c>
      <c r="E9" s="5" t="n">
        <v>540</v>
      </c>
      <c r="F9" s="5" t="n">
        <v>536</v>
      </c>
      <c r="G9" s="11">
        <f>'Revenue Model'!G23*0.028</f>
        <v/>
      </c>
      <c r="H9" s="11">
        <f>'Revenue Model'!H23*0.028</f>
        <v/>
      </c>
      <c r="I9" s="11">
        <f>'Revenue Model'!I23*0.028</f>
        <v/>
      </c>
      <c r="J9" s="11">
        <f>'Revenue Model'!J23*0.028</f>
        <v/>
      </c>
      <c r="K9" s="11">
        <f>'Revenue Model'!K23*0.028</f>
        <v/>
      </c>
    </row>
    <row r="10">
      <c r="A10" s="4" t="inlineStr">
        <is>
          <t xml:space="preserve">  Prepaid Expenses</t>
        </is>
      </c>
      <c r="B10" s="5" t="n">
        <v>74</v>
      </c>
      <c r="C10" s="5" t="n">
        <v>89</v>
      </c>
      <c r="D10" s="5" t="n">
        <v>64</v>
      </c>
      <c r="E10" s="5" t="n">
        <v>71</v>
      </c>
      <c r="F10" s="5" t="n">
        <v>75</v>
      </c>
      <c r="G10" s="5" t="n">
        <v>80</v>
      </c>
      <c r="H10" s="5" t="n">
        <v>80</v>
      </c>
      <c r="I10" s="5" t="n">
        <v>80</v>
      </c>
      <c r="J10" s="5" t="n">
        <v>80</v>
      </c>
      <c r="K10" s="5" t="n">
        <v>80</v>
      </c>
    </row>
    <row r="11">
      <c r="A11" s="4" t="inlineStr">
        <is>
          <t xml:space="preserve">  Other Current Assets</t>
        </is>
      </c>
      <c r="B11" s="5" t="n">
        <v>239</v>
      </c>
      <c r="C11" s="5" t="n">
        <v>218</v>
      </c>
      <c r="D11" s="5" t="n">
        <v>345</v>
      </c>
      <c r="E11" s="5" t="n">
        <v>756</v>
      </c>
      <c r="F11" s="5" t="n">
        <v>1787</v>
      </c>
      <c r="G11" s="5" t="n">
        <v>800</v>
      </c>
      <c r="H11" s="5" t="n">
        <v>800</v>
      </c>
      <c r="I11" s="5" t="n">
        <v>800</v>
      </c>
      <c r="J11" s="5" t="n">
        <v>800</v>
      </c>
      <c r="K11" s="5" t="n">
        <v>800</v>
      </c>
    </row>
    <row r="13">
      <c r="A13" s="1" t="inlineStr">
        <is>
          <t>Total Current Assets</t>
        </is>
      </c>
      <c r="B13" s="17">
        <f>SUM(B7:B11)</f>
        <v/>
      </c>
      <c r="C13" s="17">
        <f>SUM(C7:C11)</f>
        <v/>
      </c>
      <c r="D13" s="17">
        <f>SUM(D7:D11)</f>
        <v/>
      </c>
      <c r="E13" s="17">
        <f>SUM(E7:E11)</f>
        <v/>
      </c>
      <c r="F13" s="17">
        <f>SUM(F7:F11)</f>
        <v/>
      </c>
      <c r="G13" s="17">
        <f>SUM(G7:G11)</f>
        <v/>
      </c>
      <c r="H13" s="17">
        <f>SUM(H7:H11)</f>
        <v/>
      </c>
      <c r="I13" s="17">
        <f>SUM(I7:I11)</f>
        <v/>
      </c>
      <c r="J13" s="17">
        <f>SUM(J7:J11)</f>
        <v/>
      </c>
      <c r="K13" s="17">
        <f>SUM(K7:K11)</f>
        <v/>
      </c>
    </row>
    <row r="15">
      <c r="A15" s="1" t="inlineStr">
        <is>
          <t>NON-CURRENT ASSETS</t>
        </is>
      </c>
    </row>
    <row r="16">
      <c r="A16" s="4" t="inlineStr">
        <is>
          <t xml:space="preserve">  Property, Plant &amp; Equipment</t>
        </is>
      </c>
      <c r="B16" s="5" t="n">
        <v>809</v>
      </c>
      <c r="C16" s="5" t="n">
        <v>765</v>
      </c>
      <c r="D16" s="5" t="n">
        <v>547</v>
      </c>
      <c r="E16" s="5" t="n">
        <v>414</v>
      </c>
      <c r="F16" s="5" t="n">
        <v>422</v>
      </c>
      <c r="G16" s="5" t="n">
        <v>400</v>
      </c>
      <c r="H16" s="5" t="n">
        <v>390</v>
      </c>
      <c r="I16" s="5" t="n">
        <v>380</v>
      </c>
      <c r="J16" s="5" t="n">
        <v>370</v>
      </c>
      <c r="K16" s="5" t="n">
        <v>360</v>
      </c>
    </row>
    <row r="17">
      <c r="A17" s="4" t="inlineStr">
        <is>
          <t xml:space="preserve">  Long-Term Investments</t>
        </is>
      </c>
      <c r="B17" s="5" t="n">
        <v>916</v>
      </c>
      <c r="C17" s="5" t="n">
        <v>1138</v>
      </c>
      <c r="D17" s="5" t="n">
        <v>1215</v>
      </c>
      <c r="E17" s="5" t="n">
        <v>1635</v>
      </c>
      <c r="F17" s="5" t="n">
        <v>2181</v>
      </c>
      <c r="G17" s="5" t="n">
        <v>2500</v>
      </c>
      <c r="H17" s="5" t="n">
        <v>2800</v>
      </c>
      <c r="I17" s="5" t="n">
        <v>3100</v>
      </c>
      <c r="J17" s="5" t="n">
        <v>3400</v>
      </c>
      <c r="K17" s="5" t="n">
        <v>3700</v>
      </c>
    </row>
    <row r="18">
      <c r="A18" s="4" t="inlineStr">
        <is>
          <t xml:space="preserve">  Goodwill</t>
        </is>
      </c>
      <c r="B18" s="5" t="n">
        <v>894</v>
      </c>
      <c r="C18" s="5" t="n">
        <v>1168</v>
      </c>
      <c r="D18" s="5" t="n">
        <v>1137</v>
      </c>
      <c r="E18" s="5" t="n">
        <v>1201</v>
      </c>
      <c r="F18" s="5" t="n">
        <v>1083</v>
      </c>
      <c r="G18" s="5" t="n">
        <v>1100</v>
      </c>
      <c r="H18" s="5" t="n">
        <v>1120</v>
      </c>
      <c r="I18" s="5" t="n">
        <v>1140</v>
      </c>
      <c r="J18" s="5" t="n">
        <v>1160</v>
      </c>
      <c r="K18" s="5" t="n">
        <v>1180</v>
      </c>
    </row>
    <row r="19">
      <c r="A19" s="4" t="inlineStr">
        <is>
          <t xml:space="preserve">  Intangible Assets</t>
        </is>
      </c>
      <c r="B19" s="5" t="n">
        <v>58</v>
      </c>
      <c r="C19" s="5" t="n">
        <v>108</v>
      </c>
      <c r="D19" s="5" t="n">
        <v>71</v>
      </c>
      <c r="E19" s="5" t="n">
        <v>40</v>
      </c>
      <c r="F19" s="5" t="n">
        <v>29</v>
      </c>
      <c r="G19" s="5" t="n">
        <v>25</v>
      </c>
      <c r="H19" s="5" t="n">
        <v>25</v>
      </c>
      <c r="I19" s="5" t="n">
        <v>25</v>
      </c>
      <c r="J19" s="5" t="n">
        <v>25</v>
      </c>
      <c r="K19" s="5" t="n">
        <v>25</v>
      </c>
    </row>
    <row r="20">
      <c r="A20" s="4" t="inlineStr">
        <is>
          <t xml:space="preserve">  Deferred Tax Assets</t>
        </is>
      </c>
      <c r="B20" s="5" t="n">
        <v>13</v>
      </c>
      <c r="C20" s="5" t="n">
        <v>8</v>
      </c>
      <c r="D20" s="5" t="n">
        <v>28</v>
      </c>
      <c r="E20" s="5" t="n">
        <v>186</v>
      </c>
      <c r="F20" s="5" t="n">
        <v>662</v>
      </c>
      <c r="G20" s="5" t="n">
        <v>700</v>
      </c>
      <c r="H20" s="5" t="n">
        <v>720</v>
      </c>
      <c r="I20" s="5" t="n">
        <v>740</v>
      </c>
      <c r="J20" s="5" t="n">
        <v>760</v>
      </c>
      <c r="K20" s="5" t="n">
        <v>780</v>
      </c>
    </row>
    <row r="21">
      <c r="A21" s="4" t="inlineStr">
        <is>
          <t xml:space="preserve">  Other Non-Current Assets</t>
        </is>
      </c>
      <c r="B21" s="5" t="n">
        <v>297</v>
      </c>
      <c r="C21" s="5" t="n">
        <v>292</v>
      </c>
      <c r="D21" s="5" t="n">
        <v>364</v>
      </c>
      <c r="E21" s="5" t="n">
        <v>409</v>
      </c>
      <c r="F21" s="5" t="n">
        <v>524</v>
      </c>
      <c r="G21" s="5" t="n">
        <v>500</v>
      </c>
      <c r="H21" s="5" t="n">
        <v>500</v>
      </c>
      <c r="I21" s="5" t="n">
        <v>500</v>
      </c>
      <c r="J21" s="5" t="n">
        <v>500</v>
      </c>
      <c r="K21" s="5" t="n">
        <v>500</v>
      </c>
    </row>
    <row r="23">
      <c r="A23" s="1" t="inlineStr">
        <is>
          <t>Total Non-Current Assets</t>
        </is>
      </c>
      <c r="B23" s="17">
        <f>SUM(B16:B21)</f>
        <v/>
      </c>
      <c r="C23" s="17">
        <f>SUM(C16:C21)</f>
        <v/>
      </c>
      <c r="D23" s="17">
        <f>SUM(D16:D21)</f>
        <v/>
      </c>
      <c r="E23" s="17">
        <f>SUM(E16:E21)</f>
        <v/>
      </c>
      <c r="F23" s="17">
        <f>SUM(F16:F21)</f>
        <v/>
      </c>
      <c r="G23" s="17">
        <f>SUM(G16:G21)</f>
        <v/>
      </c>
      <c r="H23" s="17">
        <f>SUM(H16:H21)</f>
        <v/>
      </c>
      <c r="I23" s="17">
        <f>SUM(I16:I21)</f>
        <v/>
      </c>
      <c r="J23" s="17">
        <f>SUM(J16:J21)</f>
        <v/>
      </c>
      <c r="K23" s="17">
        <f>SUM(K16:K21)</f>
        <v/>
      </c>
    </row>
    <row r="25">
      <c r="A25" s="1" t="inlineStr">
        <is>
          <t>TOTAL ASSETS</t>
        </is>
      </c>
      <c r="B25" s="19">
        <f>B13+B23</f>
        <v/>
      </c>
      <c r="C25" s="19">
        <f>C13+C23</f>
        <v/>
      </c>
      <c r="D25" s="19">
        <f>D13+D23</f>
        <v/>
      </c>
      <c r="E25" s="19">
        <f>E13+E23</f>
        <v/>
      </c>
      <c r="F25" s="19">
        <f>F13+F23</f>
        <v/>
      </c>
      <c r="G25" s="19">
        <f>G13+G23</f>
        <v/>
      </c>
      <c r="H25" s="19">
        <f>H13+H23</f>
        <v/>
      </c>
      <c r="I25" s="19">
        <f>I13+I23</f>
        <v/>
      </c>
      <c r="J25" s="19">
        <f>J13+J23</f>
        <v/>
      </c>
      <c r="K25" s="19">
        <f>K13+K23</f>
        <v/>
      </c>
    </row>
    <row r="27">
      <c r="A27" s="1" t="inlineStr">
        <is>
          <t>CURRENT LIABILITIES</t>
        </is>
      </c>
    </row>
    <row r="28">
      <c r="A28" s="4" t="inlineStr">
        <is>
          <t xml:space="preserve">  Accounts Payable</t>
        </is>
      </c>
      <c r="B28" s="5" t="n">
        <v>534</v>
      </c>
      <c r="C28" s="5" t="n">
        <v>588</v>
      </c>
      <c r="D28" s="5" t="n">
        <v>662</v>
      </c>
      <c r="E28" s="5" t="n">
        <v>933</v>
      </c>
      <c r="F28" s="5" t="n">
        <v>783</v>
      </c>
      <c r="G28" s="11">
        <f>'Revenue Model'!G23*0.045</f>
        <v/>
      </c>
      <c r="H28" s="11">
        <f>'Revenue Model'!H23*0.045</f>
        <v/>
      </c>
      <c r="I28" s="11">
        <f>'Revenue Model'!I23*0.045</f>
        <v/>
      </c>
      <c r="J28" s="11">
        <f>'Revenue Model'!J23*0.045</f>
        <v/>
      </c>
      <c r="K28" s="11">
        <f>'Revenue Model'!K23*0.045</f>
        <v/>
      </c>
    </row>
    <row r="29">
      <c r="A29" s="4" t="inlineStr">
        <is>
          <t xml:space="preserve">  Accrued Expenses</t>
        </is>
      </c>
      <c r="B29" s="5" t="n">
        <v>2034</v>
      </c>
      <c r="C29" s="5" t="n">
        <v>2287</v>
      </c>
      <c r="D29" s="5" t="n">
        <v>2666</v>
      </c>
      <c r="E29" s="5" t="n">
        <v>2607</v>
      </c>
      <c r="F29" s="5" t="n">
        <v>2904</v>
      </c>
      <c r="G29" s="11">
        <f>'Revenue Model'!G23*0.16</f>
        <v/>
      </c>
      <c r="H29" s="11">
        <f>'Revenue Model'!H23*0.16</f>
        <v/>
      </c>
      <c r="I29" s="11">
        <f>'Revenue Model'!I23*0.16</f>
        <v/>
      </c>
      <c r="J29" s="11">
        <f>'Revenue Model'!J23*0.16</f>
        <v/>
      </c>
      <c r="K29" s="11">
        <f>'Revenue Model'!K23*0.16</f>
        <v/>
      </c>
    </row>
    <row r="30">
      <c r="A30" s="4" t="inlineStr">
        <is>
          <t xml:space="preserve">  Deferred Revenue</t>
        </is>
      </c>
      <c r="B30" s="5" t="n">
        <v>458</v>
      </c>
      <c r="C30" s="5" t="n">
        <v>520</v>
      </c>
      <c r="D30" s="5" t="n">
        <v>622</v>
      </c>
      <c r="E30" s="5" t="n">
        <v>683</v>
      </c>
      <c r="F30" s="5" t="n">
        <v>711</v>
      </c>
      <c r="G30" s="11">
        <f>'Revenue Model'!G23*0.038</f>
        <v/>
      </c>
      <c r="H30" s="11">
        <f>'Revenue Model'!H23*0.038</f>
        <v/>
      </c>
      <c r="I30" s="11">
        <f>'Revenue Model'!I23*0.038</f>
        <v/>
      </c>
      <c r="J30" s="11">
        <f>'Revenue Model'!J23*0.038</f>
        <v/>
      </c>
      <c r="K30" s="11">
        <f>'Revenue Model'!K23*0.038</f>
        <v/>
      </c>
    </row>
    <row r="31">
      <c r="A31" s="4" t="inlineStr">
        <is>
          <t xml:space="preserve">  Current Portion of LT Debt</t>
        </is>
      </c>
      <c r="B31" s="5" t="n">
        <v>0</v>
      </c>
      <c r="C31" s="5" t="n">
        <v>0</v>
      </c>
      <c r="D31" s="5" t="n">
        <v>0</v>
      </c>
      <c r="E31" s="5" t="n">
        <v>0</v>
      </c>
      <c r="F31" s="5" t="n">
        <v>1458</v>
      </c>
      <c r="G31" s="5" t="n">
        <v>0</v>
      </c>
      <c r="H31" s="5" t="n">
        <v>0</v>
      </c>
      <c r="I31" s="5" t="n">
        <v>0</v>
      </c>
      <c r="J31" s="5" t="n">
        <v>0</v>
      </c>
      <c r="K31" s="5" t="n">
        <v>0</v>
      </c>
    </row>
    <row r="32">
      <c r="A32" s="4" t="inlineStr">
        <is>
          <t xml:space="preserve">  Current Lease Liabilities</t>
        </is>
      </c>
      <c r="B32" s="5" t="n">
        <v>44</v>
      </c>
      <c r="C32" s="5" t="n">
        <v>58</v>
      </c>
      <c r="D32" s="5" t="n">
        <v>65</v>
      </c>
      <c r="E32" s="5" t="n">
        <v>75</v>
      </c>
      <c r="F32" s="5" t="n">
        <v>65</v>
      </c>
      <c r="G32" s="5" t="n">
        <v>60</v>
      </c>
      <c r="H32" s="5" t="n">
        <v>60</v>
      </c>
      <c r="I32" s="5" t="n">
        <v>60</v>
      </c>
      <c r="J32" s="5" t="n">
        <v>60</v>
      </c>
      <c r="K32" s="5" t="n">
        <v>60</v>
      </c>
    </row>
    <row r="33">
      <c r="A33" s="4" t="inlineStr">
        <is>
          <t xml:space="preserve">  Other Current Liabilities</t>
        </is>
      </c>
      <c r="B33" s="5" t="n">
        <v>156</v>
      </c>
      <c r="C33" s="5" t="n">
        <v>63</v>
      </c>
      <c r="D33" s="5" t="n">
        <v>75</v>
      </c>
      <c r="E33" s="5" t="n">
        <v>152</v>
      </c>
      <c r="F33" s="5" t="n">
        <v>164</v>
      </c>
      <c r="G33" s="5" t="n">
        <v>150</v>
      </c>
      <c r="H33" s="5" t="n">
        <v>150</v>
      </c>
      <c r="I33" s="5" t="n">
        <v>150</v>
      </c>
      <c r="J33" s="5" t="n">
        <v>150</v>
      </c>
      <c r="K33" s="5" t="n">
        <v>150</v>
      </c>
    </row>
    <row r="35">
      <c r="A35" s="1" t="inlineStr">
        <is>
          <t>Total Current Liabilities</t>
        </is>
      </c>
      <c r="B35" s="17">
        <f>SUM(B28:B33)</f>
        <v/>
      </c>
      <c r="C35" s="17">
        <f>SUM(C28:C33)</f>
        <v/>
      </c>
      <c r="D35" s="17">
        <f>SUM(D28:D33)</f>
        <v/>
      </c>
      <c r="E35" s="17">
        <f>SUM(E28:E33)</f>
        <v/>
      </c>
      <c r="F35" s="17">
        <f>SUM(F28:F33)</f>
        <v/>
      </c>
      <c r="G35" s="17">
        <f>SUM(G28:G33)</f>
        <v/>
      </c>
      <c r="H35" s="17">
        <f>SUM(H28:H33)</f>
        <v/>
      </c>
      <c r="I35" s="17">
        <f>SUM(I28:I33)</f>
        <v/>
      </c>
      <c r="J35" s="17">
        <f>SUM(J28:J33)</f>
        <v/>
      </c>
      <c r="K35" s="17">
        <f>SUM(K28:K33)</f>
        <v/>
      </c>
    </row>
    <row r="37">
      <c r="A37" s="1" t="inlineStr">
        <is>
          <t>NON-CURRENT LIABILITIES</t>
        </is>
      </c>
    </row>
    <row r="38">
      <c r="A38" s="4" t="inlineStr">
        <is>
          <t xml:space="preserve">  Long-Term Debt</t>
        </is>
      </c>
      <c r="B38" s="5" t="n">
        <v>1202</v>
      </c>
      <c r="C38" s="5" t="n">
        <v>1128</v>
      </c>
      <c r="D38" s="5" t="n">
        <v>1203</v>
      </c>
      <c r="E38" s="5" t="n">
        <v>1539</v>
      </c>
      <c r="F38" s="5" t="n">
        <v>0</v>
      </c>
      <c r="G38" s="5" t="n">
        <v>0</v>
      </c>
      <c r="H38" s="5" t="n">
        <v>0</v>
      </c>
      <c r="I38" s="5" t="n">
        <v>0</v>
      </c>
      <c r="J38" s="5" t="n">
        <v>0</v>
      </c>
      <c r="K38" s="5" t="n">
        <v>0</v>
      </c>
    </row>
    <row r="39">
      <c r="A39" s="4" t="inlineStr">
        <is>
          <t xml:space="preserve">  Long-Term Lease Liabilities</t>
        </is>
      </c>
      <c r="B39" s="5" t="n">
        <v>579</v>
      </c>
      <c r="C39" s="5" t="n">
        <v>555</v>
      </c>
      <c r="D39" s="5" t="n">
        <v>493</v>
      </c>
      <c r="E39" s="5" t="n">
        <v>462</v>
      </c>
      <c r="F39" s="5" t="n">
        <v>433</v>
      </c>
      <c r="G39" s="5" t="n">
        <v>400</v>
      </c>
      <c r="H39" s="5" t="n">
        <v>370</v>
      </c>
      <c r="I39" s="5" t="n">
        <v>340</v>
      </c>
      <c r="J39" s="5" t="n">
        <v>310</v>
      </c>
      <c r="K39" s="5" t="n">
        <v>280</v>
      </c>
    </row>
    <row r="40">
      <c r="A40" s="4" t="inlineStr">
        <is>
          <t xml:space="preserve">  Deferred Tax Liabilities</t>
        </is>
      </c>
      <c r="B40" s="5" t="n">
        <v>0</v>
      </c>
      <c r="C40" s="5" t="n">
        <v>5</v>
      </c>
      <c r="D40" s="5" t="n">
        <v>8</v>
      </c>
      <c r="E40" s="5" t="n">
        <v>21</v>
      </c>
      <c r="F40" s="5" t="n">
        <v>163</v>
      </c>
      <c r="G40" s="5" t="n">
        <v>180</v>
      </c>
      <c r="H40" s="5" t="n">
        <v>180</v>
      </c>
      <c r="I40" s="5" t="n">
        <v>180</v>
      </c>
      <c r="J40" s="5" t="n">
        <v>180</v>
      </c>
      <c r="K40" s="5" t="n">
        <v>180</v>
      </c>
    </row>
    <row r="41">
      <c r="A41" s="4" t="inlineStr">
        <is>
          <t xml:space="preserve">  Other Non-Current Liabilities</t>
        </is>
      </c>
      <c r="B41" s="5" t="n">
        <v>44</v>
      </c>
      <c r="C41" s="5" t="n">
        <v>31</v>
      </c>
      <c r="D41" s="5" t="n">
        <v>29</v>
      </c>
      <c r="E41" s="5" t="n">
        <v>8</v>
      </c>
      <c r="F41" s="5" t="n">
        <v>5</v>
      </c>
      <c r="G41" s="5" t="n">
        <v>5</v>
      </c>
      <c r="H41" s="5" t="n">
        <v>5</v>
      </c>
      <c r="I41" s="5" t="n">
        <v>5</v>
      </c>
      <c r="J41" s="5" t="n">
        <v>5</v>
      </c>
      <c r="K41" s="5" t="n">
        <v>5</v>
      </c>
    </row>
    <row r="43">
      <c r="A43" s="1" t="inlineStr">
        <is>
          <t>Total Non-Current Liabilities</t>
        </is>
      </c>
      <c r="B43" s="17">
        <f>SUM(B38:B41)</f>
        <v/>
      </c>
      <c r="C43" s="17">
        <f>SUM(C38:C41)</f>
        <v/>
      </c>
      <c r="D43" s="17">
        <f>SUM(D38:D41)</f>
        <v/>
      </c>
      <c r="E43" s="17">
        <f>SUM(E38:E41)</f>
        <v/>
      </c>
      <c r="F43" s="17">
        <f>SUM(F38:F41)</f>
        <v/>
      </c>
      <c r="G43" s="17">
        <f>SUM(G38:G41)</f>
        <v/>
      </c>
      <c r="H43" s="17">
        <f>SUM(H38:H41)</f>
        <v/>
      </c>
      <c r="I43" s="17">
        <f>SUM(I38:I41)</f>
        <v/>
      </c>
      <c r="J43" s="17">
        <f>SUM(J38:J41)</f>
        <v/>
      </c>
      <c r="K43" s="17">
        <f>SUM(K38:K41)</f>
        <v/>
      </c>
    </row>
    <row r="45">
      <c r="A45" s="1" t="inlineStr">
        <is>
          <t>TOTAL LIABILITIES</t>
        </is>
      </c>
      <c r="B45" s="17">
        <f>B35+B43</f>
        <v/>
      </c>
      <c r="C45" s="17">
        <f>C35+C43</f>
        <v/>
      </c>
      <c r="D45" s="17">
        <f>D35+D43</f>
        <v/>
      </c>
      <c r="E45" s="17">
        <f>E35+E43</f>
        <v/>
      </c>
      <c r="F45" s="17">
        <f>F35+F43</f>
        <v/>
      </c>
      <c r="G45" s="17">
        <f>G35+G43</f>
        <v/>
      </c>
      <c r="H45" s="17">
        <f>H35+H43</f>
        <v/>
      </c>
      <c r="I45" s="17">
        <f>I35+I43</f>
        <v/>
      </c>
      <c r="J45" s="17">
        <f>J35+J43</f>
        <v/>
      </c>
      <c r="K45" s="17">
        <f>K35+K43</f>
        <v/>
      </c>
    </row>
    <row r="47">
      <c r="A47" s="1" t="inlineStr">
        <is>
          <t>SHAREHOLDERS' EQUITY</t>
        </is>
      </c>
    </row>
    <row r="48">
      <c r="A48" s="4" t="inlineStr">
        <is>
          <t xml:space="preserve">  Additional Paid-In Capital</t>
        </is>
      </c>
      <c r="B48" s="5" t="n">
        <v>4746</v>
      </c>
      <c r="C48" s="5" t="n">
        <v>4789</v>
      </c>
      <c r="D48" s="5" t="n">
        <v>5155</v>
      </c>
      <c r="E48" s="5" t="n">
        <v>6124</v>
      </c>
      <c r="F48" s="5" t="n">
        <v>6496</v>
      </c>
      <c r="G48" s="11">
        <f>F48+'Income Statement'!G29+'Cash Flow'!G31</f>
        <v/>
      </c>
      <c r="H48" s="11">
        <f>G48+'Income Statement'!H29+'Cash Flow'!H31</f>
        <v/>
      </c>
      <c r="I48" s="11">
        <f>H48+'Income Statement'!I29+'Cash Flow'!I31</f>
        <v/>
      </c>
      <c r="J48" s="11">
        <f>I48+'Income Statement'!J29+'Cash Flow'!J31</f>
        <v/>
      </c>
      <c r="K48" s="11">
        <f>J48+'Income Statement'!K29+'Cash Flow'!K31</f>
        <v/>
      </c>
    </row>
    <row r="49">
      <c r="A49" s="4" t="inlineStr">
        <is>
          <t xml:space="preserve">  Retained Earnings</t>
        </is>
      </c>
      <c r="B49" s="5" t="n">
        <v>-3220</v>
      </c>
      <c r="C49" s="5" t="n">
        <v>-3647</v>
      </c>
      <c r="D49" s="5" t="n">
        <v>-4182</v>
      </c>
      <c r="E49" s="5" t="n">
        <v>-3044</v>
      </c>
      <c r="F49" s="5" t="n">
        <v>-832</v>
      </c>
      <c r="G49" s="11">
        <f>F49+'Income Statement'!G44</f>
        <v/>
      </c>
      <c r="H49" s="11">
        <f>G49+'Income Statement'!H44</f>
        <v/>
      </c>
      <c r="I49" s="11">
        <f>H49+'Income Statement'!I44</f>
        <v/>
      </c>
      <c r="J49" s="11">
        <f>I49+'Income Statement'!J44</f>
        <v/>
      </c>
      <c r="K49" s="11">
        <f>J49+'Income Statement'!K44</f>
        <v/>
      </c>
    </row>
    <row r="50">
      <c r="A50" s="4" t="inlineStr">
        <is>
          <t xml:space="preserve">  Treasury Stock</t>
        </is>
      </c>
      <c r="B50" s="5" t="n">
        <v>-260</v>
      </c>
      <c r="C50" s="5" t="n">
        <v>-262</v>
      </c>
      <c r="D50" s="5" t="n">
        <v>-262</v>
      </c>
      <c r="E50" s="5" t="n">
        <v>-262</v>
      </c>
      <c r="F50" s="5" t="n">
        <v>-701</v>
      </c>
      <c r="G50" s="11">
        <f>F50+'Cash Flow'!G32</f>
        <v/>
      </c>
      <c r="H50" s="11">
        <f>G50+'Cash Flow'!H32</f>
        <v/>
      </c>
      <c r="I50" s="11">
        <f>H50+'Cash Flow'!I32</f>
        <v/>
      </c>
      <c r="J50" s="11">
        <f>I50+'Cash Flow'!J32</f>
        <v/>
      </c>
      <c r="K50" s="11">
        <f>J50+'Cash Flow'!K32</f>
        <v/>
      </c>
    </row>
    <row r="51">
      <c r="A51" s="4" t="inlineStr">
        <is>
          <t xml:space="preserve">  AOCI &amp; Other Equity</t>
        </is>
      </c>
      <c r="B51" s="5" t="n">
        <v>853</v>
      </c>
      <c r="C51" s="5" t="n">
        <v>1521</v>
      </c>
      <c r="D51" s="5" t="n">
        <v>1812</v>
      </c>
      <c r="E51" s="5" t="n">
        <v>2707</v>
      </c>
      <c r="F51" s="5" t="n">
        <v>3366</v>
      </c>
      <c r="G51" s="5" t="n">
        <v>3500</v>
      </c>
      <c r="H51" s="5" t="n">
        <v>3600</v>
      </c>
      <c r="I51" s="5" t="n">
        <v>3700</v>
      </c>
      <c r="J51" s="5" t="n">
        <v>3800</v>
      </c>
      <c r="K51" s="5" t="n">
        <v>3900</v>
      </c>
    </row>
    <row r="53">
      <c r="A53" s="1" t="inlineStr">
        <is>
          <t>TOTAL SHAREHOLDERS' EQUITY</t>
        </is>
      </c>
      <c r="B53" s="17">
        <f>B48+B49+B50+B51</f>
        <v/>
      </c>
      <c r="C53" s="17">
        <f>C48+C49+C50+C51</f>
        <v/>
      </c>
      <c r="D53" s="17">
        <f>D48+D49+D50+D51</f>
        <v/>
      </c>
      <c r="E53" s="17">
        <f>E48+E49+E50+E51</f>
        <v/>
      </c>
      <c r="F53" s="17">
        <f>F48+F49+F50+F51</f>
        <v/>
      </c>
      <c r="G53" s="17">
        <f>G48+G49+G50+G51</f>
        <v/>
      </c>
      <c r="H53" s="17">
        <f>H48+H49+H50+H51</f>
        <v/>
      </c>
      <c r="I53" s="17">
        <f>I48+I49+I50+I51</f>
        <v/>
      </c>
      <c r="J53" s="17">
        <f>J48+J49+J50+J51</f>
        <v/>
      </c>
      <c r="K53" s="17">
        <f>K48+K49+K50+K51</f>
        <v/>
      </c>
    </row>
    <row r="55">
      <c r="A55" s="1" t="inlineStr">
        <is>
          <t>TOTAL LIABILITIES + EQUITY</t>
        </is>
      </c>
      <c r="B55" s="19">
        <f>B45+B53</f>
        <v/>
      </c>
      <c r="C55" s="19">
        <f>C45+C53</f>
        <v/>
      </c>
      <c r="D55" s="19">
        <f>D45+D53</f>
        <v/>
      </c>
      <c r="E55" s="19">
        <f>E45+E53</f>
        <v/>
      </c>
      <c r="F55" s="19">
        <f>F45+F53</f>
        <v/>
      </c>
      <c r="G55" s="19">
        <f>G45+G53</f>
        <v/>
      </c>
      <c r="H55" s="19">
        <f>H45+H53</f>
        <v/>
      </c>
      <c r="I55" s="19">
        <f>I45+I53</f>
        <v/>
      </c>
      <c r="J55" s="19">
        <f>J45+J53</f>
        <v/>
      </c>
      <c r="K55" s="19">
        <f>K45+K53</f>
        <v/>
      </c>
    </row>
    <row r="57">
      <c r="A57" s="1" t="inlineStr">
        <is>
          <t>BALANCE CHECK</t>
        </is>
      </c>
      <c r="B57" s="15">
        <f>IF(ABS(B25-B55)&lt;1,"OK","ERROR")</f>
        <v/>
      </c>
      <c r="C57" s="15">
        <f>IF(ABS(C25-C55)&lt;1,"OK","ERROR")</f>
        <v/>
      </c>
      <c r="D57" s="15">
        <f>IF(ABS(D25-D55)&lt;1,"OK","ERROR")</f>
        <v/>
      </c>
      <c r="E57" s="15">
        <f>IF(ABS(E25-E55)&lt;1,"OK","ERROR")</f>
        <v/>
      </c>
      <c r="F57" s="15">
        <f>IF(ABS(F25-F55)&lt;1,"OK","ERROR")</f>
        <v/>
      </c>
      <c r="G57" s="15">
        <f>IF(ABS(G25-G55)&lt;1,"OK","ERROR")</f>
        <v/>
      </c>
      <c r="H57" s="15">
        <f>IF(ABS(H25-H55)&lt;1,"OK","ERROR")</f>
        <v/>
      </c>
      <c r="I57" s="15">
        <f>IF(ABS(I25-I55)&lt;1,"OK","ERROR")</f>
        <v/>
      </c>
      <c r="J57" s="15">
        <f>IF(ABS(J25-J55)&lt;1,"OK","ERROR")</f>
        <v/>
      </c>
      <c r="K57" s="15">
        <f>IF(ABS(K25-K55)&lt;1,"OK","ERROR")</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8" customWidth="1" min="1" max="1"/>
    <col width="16" customWidth="1" min="2" max="2"/>
    <col width="16" customWidth="1" min="3" max="3"/>
    <col width="16" customWidth="1" min="4" max="4"/>
    <col width="40" customWidth="1" min="5" max="5"/>
  </cols>
  <sheetData>
    <row r="1">
      <c r="A1" s="1" t="inlineStr">
        <is>
          <t>SPOTIFY TECHNOLOGY S.A. — SCENARIO ANALYSIS</t>
        </is>
      </c>
    </row>
    <row r="2">
      <c r="A2" s="2" t="inlineStr">
        <is>
          <t>(EUR millions unless noted)</t>
        </is>
      </c>
    </row>
    <row r="4">
      <c r="A4" s="3" t="inlineStr">
        <is>
          <t>Assumption</t>
        </is>
      </c>
      <c r="B4" s="3" t="inlineStr">
        <is>
          <t>Bull</t>
        </is>
      </c>
      <c r="C4" s="3" t="inlineStr">
        <is>
          <t>Base</t>
        </is>
      </c>
      <c r="D4" s="3" t="inlineStr">
        <is>
          <t>Bear</t>
        </is>
      </c>
      <c r="E4" s="3" t="inlineStr">
        <is>
          <t>Rationale</t>
        </is>
      </c>
    </row>
    <row r="5">
      <c r="A5" s="4" t="inlineStr">
        <is>
          <t>Revenue CAGR 2026-2030</t>
        </is>
      </c>
      <c r="B5" s="20" t="n">
        <v>0.14</v>
      </c>
      <c r="C5" s="21" t="n">
        <v>0.1</v>
      </c>
      <c r="D5" s="22" t="n">
        <v>0.07000000000000001</v>
      </c>
      <c r="E5" s="2" t="inlineStr">
        <is>
          <t>Bull: pricing power + ad growth; Base: steady growth; Bear: competition/macro slowdown</t>
        </is>
      </c>
    </row>
    <row r="6">
      <c r="A6" s="4" t="inlineStr">
        <is>
          <t>Gross Margin 2030E</t>
        </is>
      </c>
      <c r="B6" s="20" t="n">
        <v>0.38</v>
      </c>
      <c r="C6" s="21" t="n">
        <v>0.345</v>
      </c>
      <c r="D6" s="22" t="n">
        <v>0.3</v>
      </c>
      <c r="E6" s="2" t="inlineStr">
        <is>
          <t>Bull: better licensing terms; Base: gradual improvement; Bear: label cost pressure</t>
        </is>
      </c>
    </row>
    <row r="7">
      <c r="A7" s="4" t="inlineStr">
        <is>
          <t>EBITDA Margin 2030E</t>
        </is>
      </c>
      <c r="B7" s="20" t="n">
        <v>0.22</v>
      </c>
      <c r="C7" s="21" t="n">
        <v>0.17</v>
      </c>
      <c r="D7" s="22" t="n">
        <v>0.12</v>
      </c>
      <c r="E7" s="2" t="inlineStr">
        <is>
          <t>Bull: strong OpLev; Base: continued discipline; Bear: reinvestment/competition</t>
        </is>
      </c>
    </row>
    <row r="8">
      <c r="A8" s="4" t="inlineStr">
        <is>
          <t>Premium Sub Growth CAGR</t>
        </is>
      </c>
      <c r="B8" s="20" t="n">
        <v>0.12</v>
      </c>
      <c r="C8" s="21" t="n">
        <v>0.09</v>
      </c>
      <c r="D8" s="22" t="n">
        <v>0.06</v>
      </c>
      <c r="E8" s="2" t="inlineStr">
        <is>
          <t>Bull: TAM expansion + new markets; Base: mature growth; Bear: saturation</t>
        </is>
      </c>
    </row>
    <row r="9">
      <c r="A9" s="4" t="inlineStr">
        <is>
          <t>ARPU Growth (annual)</t>
        </is>
      </c>
      <c r="B9" s="20" t="n">
        <v>0.05</v>
      </c>
      <c r="C9" s="21" t="n">
        <v>0.03</v>
      </c>
      <c r="D9" s="22" t="n">
        <v>0.01</v>
      </c>
      <c r="E9" s="2" t="inlineStr">
        <is>
          <t>Bull: aggressive pricing; Base: modest price increases; Bear: mix shift to lower ARPU regions</t>
        </is>
      </c>
    </row>
    <row r="10">
      <c r="A10" s="4" t="inlineStr">
        <is>
          <t>Ad Revenue Growth CAGR</t>
        </is>
      </c>
      <c r="B10" s="20" t="n">
        <v>0.18</v>
      </c>
      <c r="C10" s="21" t="n">
        <v>0.12</v>
      </c>
      <c r="D10" s="22" t="n">
        <v>0.06</v>
      </c>
      <c r="E10" s="2" t="inlineStr">
        <is>
          <t>Bull: programmatic + podcast ads; Base: steady share gains; Bear: ad market weakness</t>
        </is>
      </c>
    </row>
    <row r="11">
      <c r="A11" s="4" t="inlineStr">
        <is>
          <t>Tax Rate 2030E</t>
        </is>
      </c>
      <c r="B11" s="20" t="n">
        <v>0.15</v>
      </c>
      <c r="C11" s="21" t="n">
        <v>0.17</v>
      </c>
      <c r="D11" s="22" t="n">
        <v>0.2</v>
      </c>
      <c r="E11" s="2" t="inlineStr">
        <is>
          <t>Bull: tax-efficient structure; Base: normalized; Bear: higher global tax rates</t>
        </is>
      </c>
    </row>
    <row r="14">
      <c r="A14" s="3" t="inlineStr">
        <is>
          <t>Output Metric (2030E)</t>
        </is>
      </c>
      <c r="B14" s="3" t="inlineStr">
        <is>
          <t>Bull</t>
        </is>
      </c>
      <c r="C14" s="3" t="inlineStr">
        <is>
          <t>Base</t>
        </is>
      </c>
      <c r="D14" s="3" t="inlineStr">
        <is>
          <t>Bear</t>
        </is>
      </c>
    </row>
    <row r="15">
      <c r="A15" s="4" t="inlineStr">
        <is>
          <t>2030E Revenue (EUR M)</t>
        </is>
      </c>
      <c r="B15" s="23">
        <f>17186*(1+B5)^5</f>
        <v/>
      </c>
      <c r="C15" s="24">
        <f>17186*(1+C5)^5</f>
        <v/>
      </c>
      <c r="D15" s="25">
        <f>17186*(1+D5)^5</f>
        <v/>
      </c>
    </row>
    <row r="16">
      <c r="A16" s="4" t="inlineStr">
        <is>
          <t>2030E Gross Profit (EUR M)</t>
        </is>
      </c>
      <c r="B16" s="23">
        <f>B15*B6</f>
        <v/>
      </c>
      <c r="C16" s="24">
        <f>C15*C6</f>
        <v/>
      </c>
      <c r="D16" s="25">
        <f>D15*D6</f>
        <v/>
      </c>
    </row>
    <row r="17">
      <c r="A17" s="4" t="inlineStr">
        <is>
          <t>2030E EBITDA (EUR M)</t>
        </is>
      </c>
      <c r="B17" s="23">
        <f>B15*B7</f>
        <v/>
      </c>
      <c r="C17" s="24">
        <f>C15*C7</f>
        <v/>
      </c>
      <c r="D17" s="25">
        <f>D15*D7</f>
        <v/>
      </c>
    </row>
    <row r="18">
      <c r="A18" s="4" t="inlineStr">
        <is>
          <t>2030E Net Income (EUR M)</t>
        </is>
      </c>
      <c r="B18" s="23">
        <f>B17*(1-B11)</f>
        <v/>
      </c>
      <c r="C18" s="24">
        <f>C17*(1-C11)</f>
        <v/>
      </c>
      <c r="D18" s="25">
        <f>D17*(1-D11)</f>
        <v/>
      </c>
    </row>
    <row r="19">
      <c r="A19" s="4" t="inlineStr">
        <is>
          <t>2030E EPS (EUR)</t>
        </is>
      </c>
      <c r="B19" s="26">
        <f>B18/216</f>
        <v/>
      </c>
      <c r="C19" s="27">
        <f>C18/216</f>
        <v/>
      </c>
      <c r="D19" s="28">
        <f>D18/216</f>
        <v/>
      </c>
    </row>
    <row r="20">
      <c r="A20" s="4" t="inlineStr">
        <is>
          <t>2030E FCF (EUR M)</t>
        </is>
      </c>
      <c r="B20" s="23">
        <f>B18+50-110</f>
        <v/>
      </c>
      <c r="C20" s="24">
        <f>C18+50-110</f>
        <v/>
      </c>
      <c r="D20" s="25">
        <f>D18+50-110</f>
        <v/>
      </c>
    </row>
    <row r="21">
      <c r="A21" s="4" t="inlineStr">
        <is>
          <t>Cumulative FCF 2026-2030 (EUR M)</t>
        </is>
      </c>
      <c r="B21" s="23">
        <f>B20*4.2</f>
        <v/>
      </c>
      <c r="C21" s="24">
        <f>C20*3.5</f>
        <v/>
      </c>
      <c r="D21" s="25">
        <f>D20*2.8</f>
        <v/>
      </c>
    </row>
    <row r="22">
      <c r="A22" s="4" t="inlineStr">
        <is>
          <t>2030E Premium Subs (M)</t>
        </is>
      </c>
      <c r="B22" s="23">
        <f>290*(1+B8)^5</f>
        <v/>
      </c>
      <c r="C22" s="24">
        <f>290*(1+C8)^5</f>
        <v/>
      </c>
      <c r="D22" s="25">
        <f>290*(1+D8)^5</f>
        <v/>
      </c>
    </row>
    <row r="25">
      <c r="A25" s="1" t="inlineStr">
        <is>
          <t>SCENARIO RATIONALE</t>
        </is>
      </c>
    </row>
    <row r="26">
      <c r="A26" s="1" t="inlineStr">
        <is>
          <t>Bull Case:</t>
        </is>
      </c>
    </row>
    <row r="27">
      <c r="A27" s="2" t="inlineStr">
        <is>
          <t>Spotify successfully leverages pricing power across all tiers, accelerates ad monetization through programmatic and podcast advertising, expands audiobook revenue, and achieves significant operating leverage through cost discipline. Premium subscriber growth remains robust driven by emerging market penetration and new product features (AI DJ, etc.). Content costs decline as % of revenue due to better label negotiations.</t>
        </is>
      </c>
    </row>
    <row r="28">
      <c r="A28" s="1" t="inlineStr">
        <is>
          <t>Base Case:</t>
        </is>
      </c>
    </row>
    <row r="29">
      <c r="A29" s="2" t="inlineStr">
        <is>
          <t>Spotify maintains steady subscriber and MAU growth in line with recent trends. Gradual margin improvement continues as the company benefits from 2023-2024 restructuring. ARPU grows modestly through periodic price increases. Ad-supported revenue grows but remains ~12% of total. Content costs remain ~67% of revenue. Company generates consistent and growing free cash flow.</t>
        </is>
      </c>
    </row>
    <row r="30">
      <c r="A30" s="1" t="inlineStr">
        <is>
          <t>Bear Case:</t>
        </is>
      </c>
    </row>
    <row r="31">
      <c r="A31" s="2" t="inlineStr">
        <is>
          <t>Increased competition from Apple Music, YouTube Music, and Amazon Music pressures subscriber growth and limits pricing power. Label negotiations become more challenging, keeping content costs elevated. Ad market softness limits ad revenue growth. Macro headwinds in key markets slow MAU growth. Company must reinvest heavily in content and features to maintain market share, limiting margin expansion.</t>
        </is>
      </c>
    </row>
  </sheetData>
  <mergeCells count="3">
    <mergeCell ref="A29:E29"/>
    <mergeCell ref="A27:E27"/>
    <mergeCell ref="A31:E3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SPOTIFY TECHNOLOGY S.A. — DCF INPUTS</t>
        </is>
      </c>
    </row>
    <row r="2">
      <c r="A2" s="2" t="inlineStr">
        <is>
          <t>(EUR millions)</t>
        </is>
      </c>
    </row>
    <row r="4">
      <c r="A4" s="3" t="inlineStr"/>
      <c r="B4" s="3" t="inlineStr">
        <is>
          <t>2021A</t>
        </is>
      </c>
      <c r="C4" s="3" t="inlineStr">
        <is>
          <t>2022A</t>
        </is>
      </c>
      <c r="D4" s="3" t="inlineStr">
        <is>
          <t>2023A</t>
        </is>
      </c>
      <c r="E4" s="3" t="inlineStr">
        <is>
          <t>2024A</t>
        </is>
      </c>
      <c r="F4" s="3" t="inlineStr">
        <is>
          <t>2025A</t>
        </is>
      </c>
      <c r="G4" s="3" t="inlineStr">
        <is>
          <t>2026E</t>
        </is>
      </c>
      <c r="H4" s="3" t="inlineStr">
        <is>
          <t>2027E</t>
        </is>
      </c>
      <c r="I4" s="3" t="inlineStr">
        <is>
          <t>2028E</t>
        </is>
      </c>
      <c r="J4" s="3" t="inlineStr">
        <is>
          <t>2029E</t>
        </is>
      </c>
      <c r="K4" s="3" t="inlineStr">
        <is>
          <t>2030E</t>
        </is>
      </c>
    </row>
    <row r="6">
      <c r="A6" s="1" t="inlineStr">
        <is>
          <t>EBIT (Operating Income)</t>
        </is>
      </c>
      <c r="B6" s="16">
        <f>'Income Statement'!B31</f>
        <v/>
      </c>
      <c r="C6" s="16">
        <f>'Income Statement'!C31</f>
        <v/>
      </c>
      <c r="D6" s="16">
        <f>'Income Statement'!D31</f>
        <v/>
      </c>
      <c r="E6" s="16">
        <f>'Income Statement'!E31</f>
        <v/>
      </c>
      <c r="F6" s="16">
        <f>'Income Statement'!F31</f>
        <v/>
      </c>
      <c r="G6" s="16">
        <f>'Income Statement'!G31</f>
        <v/>
      </c>
      <c r="H6" s="16">
        <f>'Income Statement'!H31</f>
        <v/>
      </c>
      <c r="I6" s="16">
        <f>'Income Statement'!I31</f>
        <v/>
      </c>
      <c r="J6" s="16">
        <f>'Income Statement'!J31</f>
        <v/>
      </c>
      <c r="K6" s="16">
        <f>'Income Statement'!K31</f>
        <v/>
      </c>
    </row>
    <row r="7">
      <c r="A7" s="4" t="inlineStr">
        <is>
          <t>Tax Rate</t>
        </is>
      </c>
      <c r="B7" s="29">
        <f>'Income Statement'!B42</f>
        <v/>
      </c>
      <c r="C7" s="29">
        <f>'Income Statement'!C42</f>
        <v/>
      </c>
      <c r="D7" s="29">
        <f>'Income Statement'!D42</f>
        <v/>
      </c>
      <c r="E7" s="29">
        <f>'Income Statement'!E42</f>
        <v/>
      </c>
      <c r="F7" s="29">
        <f>'Income Statement'!F42</f>
        <v/>
      </c>
      <c r="G7" s="29">
        <f>'Income Statement'!G42</f>
        <v/>
      </c>
      <c r="H7" s="29">
        <f>'Income Statement'!H42</f>
        <v/>
      </c>
      <c r="I7" s="29">
        <f>'Income Statement'!I42</f>
        <v/>
      </c>
      <c r="J7" s="29">
        <f>'Income Statement'!J42</f>
        <v/>
      </c>
      <c r="K7" s="29">
        <f>'Income Statement'!K42</f>
        <v/>
      </c>
    </row>
    <row r="8">
      <c r="A8" s="1" t="inlineStr">
        <is>
          <t>NOPAT (EBIT * (1 - Tax Rate))</t>
        </is>
      </c>
      <c r="B8" s="18">
        <f>MAX(B6,0)*(1-B7)</f>
        <v/>
      </c>
      <c r="C8" s="18">
        <f>MAX(C6,0)*(1-C7)</f>
        <v/>
      </c>
      <c r="D8" s="18">
        <f>MAX(D6,0)*(1-D7)</f>
        <v/>
      </c>
      <c r="E8" s="18">
        <f>MAX(E6,0)*(1-E7)</f>
        <v/>
      </c>
      <c r="F8" s="18">
        <f>MAX(F6,0)*(1-F7)</f>
        <v/>
      </c>
      <c r="G8" s="18">
        <f>MAX(G6,0)*(1-G7)</f>
        <v/>
      </c>
      <c r="H8" s="18">
        <f>MAX(H6,0)*(1-H7)</f>
        <v/>
      </c>
      <c r="I8" s="18">
        <f>MAX(I6,0)*(1-I7)</f>
        <v/>
      </c>
      <c r="J8" s="18">
        <f>MAX(J6,0)*(1-J7)</f>
        <v/>
      </c>
      <c r="K8" s="18">
        <f>MAX(K6,0)*(1-K7)</f>
        <v/>
      </c>
    </row>
    <row r="10">
      <c r="A10" s="4" t="inlineStr">
        <is>
          <t>(+) Depreciation &amp; Amortization</t>
        </is>
      </c>
      <c r="B10" s="16">
        <f>'Income Statement'!B28</f>
        <v/>
      </c>
      <c r="C10" s="16">
        <f>'Income Statement'!C28</f>
        <v/>
      </c>
      <c r="D10" s="16">
        <f>'Income Statement'!D28</f>
        <v/>
      </c>
      <c r="E10" s="16">
        <f>'Income Statement'!E28</f>
        <v/>
      </c>
      <c r="F10" s="16">
        <f>'Income Statement'!F28</f>
        <v/>
      </c>
      <c r="G10" s="16">
        <f>'Income Statement'!G28</f>
        <v/>
      </c>
      <c r="H10" s="16">
        <f>'Income Statement'!H28</f>
        <v/>
      </c>
      <c r="I10" s="16">
        <f>'Income Statement'!I28</f>
        <v/>
      </c>
      <c r="J10" s="16">
        <f>'Income Statement'!J28</f>
        <v/>
      </c>
      <c r="K10" s="16">
        <f>'Income Statement'!K28</f>
        <v/>
      </c>
    </row>
    <row r="11">
      <c r="A11" s="4" t="inlineStr">
        <is>
          <t>(-) Capital Expenditures</t>
        </is>
      </c>
      <c r="B11" s="16">
        <f>'Cash Flow'!B20</f>
        <v/>
      </c>
      <c r="C11" s="16">
        <f>'Cash Flow'!C20</f>
        <v/>
      </c>
      <c r="D11" s="16">
        <f>'Cash Flow'!D20</f>
        <v/>
      </c>
      <c r="E11" s="16">
        <f>'Cash Flow'!E20</f>
        <v/>
      </c>
      <c r="F11" s="16">
        <f>'Cash Flow'!F20</f>
        <v/>
      </c>
      <c r="G11" s="16">
        <f>'Cash Flow'!G20</f>
        <v/>
      </c>
      <c r="H11" s="16">
        <f>'Cash Flow'!H20</f>
        <v/>
      </c>
      <c r="I11" s="16">
        <f>'Cash Flow'!I20</f>
        <v/>
      </c>
      <c r="J11" s="16">
        <f>'Cash Flow'!J20</f>
        <v/>
      </c>
      <c r="K11" s="16">
        <f>'Cash Flow'!K20</f>
        <v/>
      </c>
    </row>
    <row r="12">
      <c r="A12" s="4" t="inlineStr">
        <is>
          <t>(-) Change in Net Working Capital</t>
        </is>
      </c>
      <c r="B12" s="5" t="n">
        <v>0</v>
      </c>
      <c r="C12" s="16">
        <f>'Cash Flow'!C13+'Cash Flow'!C14+'Cash Flow'!C15</f>
        <v/>
      </c>
      <c r="D12" s="16">
        <f>'Cash Flow'!D13+'Cash Flow'!D14+'Cash Flow'!D15</f>
        <v/>
      </c>
      <c r="E12" s="16">
        <f>'Cash Flow'!E13+'Cash Flow'!E14+'Cash Flow'!E15</f>
        <v/>
      </c>
      <c r="F12" s="16">
        <f>'Cash Flow'!F13+'Cash Flow'!F14+'Cash Flow'!F15</f>
        <v/>
      </c>
      <c r="G12" s="16">
        <f>'Cash Flow'!G13+'Cash Flow'!G14+'Cash Flow'!G15</f>
        <v/>
      </c>
      <c r="H12" s="16">
        <f>'Cash Flow'!H13+'Cash Flow'!H14+'Cash Flow'!H15</f>
        <v/>
      </c>
      <c r="I12" s="16">
        <f>'Cash Flow'!I13+'Cash Flow'!I14+'Cash Flow'!I15</f>
        <v/>
      </c>
      <c r="J12" s="16">
        <f>'Cash Flow'!J13+'Cash Flow'!J14+'Cash Flow'!J15</f>
        <v/>
      </c>
      <c r="K12" s="16">
        <f>'Cash Flow'!K13+'Cash Flow'!K14+'Cash Flow'!K15</f>
        <v/>
      </c>
    </row>
    <row r="14">
      <c r="A14" s="1" t="inlineStr">
        <is>
          <t>UNLEVERED FREE CASH FLOW</t>
        </is>
      </c>
      <c r="B14" s="19">
        <f>B8+B10+B11+B12</f>
        <v/>
      </c>
      <c r="C14" s="19">
        <f>C8+C10+C11+C12</f>
        <v/>
      </c>
      <c r="D14" s="19">
        <f>D8+D10+D11+D12</f>
        <v/>
      </c>
      <c r="E14" s="19">
        <f>E8+E10+E11+E12</f>
        <v/>
      </c>
      <c r="F14" s="19">
        <f>F8+F10+F11+F12</f>
        <v/>
      </c>
      <c r="G14" s="19">
        <f>G8+G10+G11+G12</f>
        <v/>
      </c>
      <c r="H14" s="19">
        <f>H8+H10+H11+H12</f>
        <v/>
      </c>
      <c r="I14" s="19">
        <f>I8+I10+I11+I12</f>
        <v/>
      </c>
      <c r="J14" s="19">
        <f>J8+J10+J11+J12</f>
        <v/>
      </c>
      <c r="K14" s="19">
        <f>K8+K10+K11+K12</f>
        <v/>
      </c>
    </row>
    <row r="15">
      <c r="A15" s="4" t="inlineStr">
        <is>
          <t xml:space="preserve">  UFCF Margin %</t>
        </is>
      </c>
      <c r="B15" s="6">
        <f>B14/'Revenue Model'!B23</f>
        <v/>
      </c>
      <c r="C15" s="6">
        <f>C14/'Revenue Model'!C23</f>
        <v/>
      </c>
      <c r="D15" s="6">
        <f>D14/'Revenue Model'!D23</f>
        <v/>
      </c>
      <c r="E15" s="6">
        <f>E14/'Revenue Model'!E23</f>
        <v/>
      </c>
      <c r="F15" s="6">
        <f>F14/'Revenue Model'!F23</f>
        <v/>
      </c>
      <c r="G15" s="6">
        <f>G14/'Revenue Model'!G23</f>
        <v/>
      </c>
      <c r="H15" s="6">
        <f>H14/'Revenue Model'!H23</f>
        <v/>
      </c>
      <c r="I15" s="6">
        <f>I14/'Revenue Model'!I23</f>
        <v/>
      </c>
      <c r="J15" s="6">
        <f>J14/'Revenue Model'!J23</f>
        <v/>
      </c>
      <c r="K15" s="6">
        <f>K14/'Revenue Model'!K23</f>
        <v/>
      </c>
    </row>
    <row r="18">
      <c r="A18" s="1" t="inlineStr">
        <is>
          <t>TERMINAL YEAR METRICS (2030E)</t>
        </is>
      </c>
    </row>
    <row r="19">
      <c r="A19" s="4" t="inlineStr">
        <is>
          <t>Revenue</t>
        </is>
      </c>
      <c r="B19" s="16">
        <f>'Revenue Model'!K23</f>
        <v/>
      </c>
    </row>
    <row r="20">
      <c r="A20" s="4" t="inlineStr">
        <is>
          <t>Revenue Growth (terminal)</t>
        </is>
      </c>
      <c r="B20" s="14" t="n">
        <v>0.04</v>
      </c>
    </row>
    <row r="21">
      <c r="A21" s="4" t="inlineStr">
        <is>
          <t>EBITDA</t>
        </is>
      </c>
      <c r="B21" s="16">
        <f>'Income Statement'!K25</f>
        <v/>
      </c>
    </row>
    <row r="22">
      <c r="A22" s="4" t="inlineStr">
        <is>
          <t>EBITDA Margin</t>
        </is>
      </c>
      <c r="B22" s="29">
        <f>'Income Statement'!K25/'Revenue Model'!K23</f>
        <v/>
      </c>
    </row>
    <row r="23">
      <c r="A23" s="4" t="inlineStr">
        <is>
          <t>EBIT</t>
        </is>
      </c>
      <c r="B23" s="16">
        <f>'Income Statement'!K31</f>
        <v/>
      </c>
    </row>
    <row r="24">
      <c r="A24" s="4" t="inlineStr">
        <is>
          <t>EBIT Margin</t>
        </is>
      </c>
      <c r="B24" s="29">
        <f>'Income Statement'!K31/'Revenue Model'!K23</f>
        <v/>
      </c>
    </row>
    <row r="25">
      <c r="A25" s="4" t="inlineStr">
        <is>
          <t>Unlevered FCF</t>
        </is>
      </c>
      <c r="B25" s="16">
        <f>K14</f>
        <v/>
      </c>
    </row>
    <row r="26">
      <c r="A26" s="4" t="inlineStr">
        <is>
          <t>UFCF Margin</t>
        </is>
      </c>
      <c r="B26" s="29">
        <f>K14/'Revenue Model'!K23</f>
        <v/>
      </c>
    </row>
    <row r="27">
      <c r="A27" s="4" t="inlineStr">
        <is>
          <t>D&amp;A</t>
        </is>
      </c>
      <c r="B27" s="16">
        <f>'Income Statement'!K28</f>
        <v/>
      </c>
    </row>
    <row r="28">
      <c r="A28" s="4" t="inlineStr">
        <is>
          <t>CapEx</t>
        </is>
      </c>
      <c r="B28" s="16">
        <f>'Cash Flow'!K20</f>
        <v/>
      </c>
    </row>
    <row r="31">
      <c r="A31" s="1" t="inlineStr">
        <is>
          <t>DCF VALUATION ASSUMPTIONS</t>
        </is>
      </c>
    </row>
    <row r="32">
      <c r="A32" s="4" t="inlineStr">
        <is>
          <t>WACC (Discount Rate)</t>
        </is>
      </c>
      <c r="B32" s="14" t="n">
        <v>0.1</v>
      </c>
    </row>
    <row r="33">
      <c r="A33" s="4" t="inlineStr">
        <is>
          <t>Terminal Growth Rate</t>
        </is>
      </c>
      <c r="B33" s="14" t="n">
        <v>0.04</v>
      </c>
    </row>
    <row r="34">
      <c r="A34" s="4" t="inlineStr">
        <is>
          <t>Risk-Free Rate</t>
        </is>
      </c>
      <c r="B34" s="14" t="n">
        <v>0.035</v>
      </c>
    </row>
    <row r="35">
      <c r="A35" s="4" t="inlineStr">
        <is>
          <t>Equity Risk Premium</t>
        </is>
      </c>
      <c r="B35" s="14" t="n">
        <v>0.055</v>
      </c>
    </row>
    <row r="36">
      <c r="A36" s="4" t="inlineStr">
        <is>
          <t>Beta (Levered)</t>
        </is>
      </c>
      <c r="B36" s="10" t="n">
        <v>1.15</v>
      </c>
    </row>
    <row r="37">
      <c r="A37" s="4" t="inlineStr">
        <is>
          <t>Cost of Equity</t>
        </is>
      </c>
      <c r="B37" s="14" t="n">
        <v>0.098</v>
      </c>
    </row>
    <row r="38">
      <c r="A38" s="4" t="inlineStr">
        <is>
          <t>Cost of Debt (pre-tax)</t>
        </is>
      </c>
      <c r="B38" s="14" t="n">
        <v>0.035</v>
      </c>
    </row>
    <row r="39">
      <c r="A39" s="4" t="inlineStr">
        <is>
          <t>Debt/Total Capital</t>
        </is>
      </c>
      <c r="B39" s="14" t="n">
        <v>0.05</v>
      </c>
    </row>
    <row r="40">
      <c r="A40" s="4" t="inlineStr">
        <is>
          <t>Shares Outstanding (M)</t>
        </is>
      </c>
      <c r="B40" s="5" t="n">
        <v>216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2026-02-26T05:19:44Z</dcterms:created>
  <dcterms:modified xmlns:dcterms="http://purl.org/dc/terms/" xmlns:xsi="http://www.w3.org/2001/XMLSchema-instance" xsi:type="dcterms:W3CDTF">2026-02-26T05:19:44Z</dcterms:modified>
</cp:coreProperties>
</file>